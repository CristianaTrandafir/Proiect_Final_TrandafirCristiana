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eaSlim 5\Desktop\Work\Proiect\Proiect final\Livrabil Excel\"/>
    </mc:Choice>
  </mc:AlternateContent>
  <xr:revisionPtr revIDLastSave="0" documentId="13_ncr:1_{99668DD0-72F0-47EB-BC83-5FD09AF717CD}" xr6:coauthVersionLast="47" xr6:coauthVersionMax="47" xr10:uidLastSave="{00000000-0000-0000-0000-000000000000}"/>
  <bookViews>
    <workbookView xWindow="-108" yWindow="-108" windowWidth="23256" windowHeight="13896" activeTab="3" xr2:uid="{77A39A5E-F8D4-4700-A459-C8630102B65A}"/>
  </bookViews>
  <sheets>
    <sheet name="angajati" sheetId="2" r:id="rId1"/>
    <sheet name="evaluari" sheetId="4" r:id="rId2"/>
    <sheet name="departamente" sheetId="3" r:id="rId3"/>
    <sheet name="angajati_curat" sheetId="5" r:id="rId4"/>
    <sheet name="pivot" sheetId="9" r:id="rId5"/>
    <sheet name="jurnal_curatare" sheetId="8" r:id="rId6"/>
  </sheets>
  <definedNames>
    <definedName name="ExternalData_1" localSheetId="0" hidden="1">angajati!$A$1:$P$493</definedName>
    <definedName name="ExternalData_1" localSheetId="3" hidden="1">angajati_curat!$A$1:$P$481</definedName>
    <definedName name="ExternalData_1" localSheetId="2" hidden="1">departamente!$A$1:$D$9</definedName>
    <definedName name="ExternalData_2" localSheetId="1" hidden="1">evaluari!$A$1:$I$1150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5" l="1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S2" i="5"/>
  <c r="T2" i="5" s="1" a="1"/>
  <c r="T2" i="5" s="1"/>
  <c r="S3" i="5"/>
  <c r="T3" i="5" s="1" a="1"/>
  <c r="T3" i="5" s="1"/>
  <c r="S4" i="5"/>
  <c r="T4" i="5" s="1" a="1"/>
  <c r="T4" i="5" s="1"/>
  <c r="S5" i="5"/>
  <c r="T5" i="5" s="1" a="1"/>
  <c r="T5" i="5" s="1"/>
  <c r="S6" i="5"/>
  <c r="T6" i="5" s="1" a="1"/>
  <c r="T6" i="5" s="1"/>
  <c r="S7" i="5"/>
  <c r="T7" i="5" s="1" a="1"/>
  <c r="T7" i="5" s="1"/>
  <c r="S8" i="5"/>
  <c r="T8" i="5" s="1" a="1"/>
  <c r="T8" i="5" s="1"/>
  <c r="S9" i="5"/>
  <c r="T9" i="5" s="1" a="1"/>
  <c r="T9" i="5" s="1"/>
  <c r="S10" i="5"/>
  <c r="T10" i="5" s="1" a="1"/>
  <c r="T10" i="5" s="1"/>
  <c r="S11" i="5"/>
  <c r="T11" i="5" s="1" a="1"/>
  <c r="T11" i="5" s="1"/>
  <c r="S12" i="5"/>
  <c r="T12" i="5" s="1" a="1"/>
  <c r="T12" i="5" s="1"/>
  <c r="S13" i="5"/>
  <c r="T13" i="5" s="1" a="1"/>
  <c r="T13" i="5" s="1"/>
  <c r="S14" i="5"/>
  <c r="T14" i="5" s="1" a="1"/>
  <c r="T14" i="5" s="1"/>
  <c r="S15" i="5"/>
  <c r="T15" i="5" s="1" a="1"/>
  <c r="T15" i="5" s="1"/>
  <c r="S16" i="5"/>
  <c r="T16" i="5" s="1" a="1"/>
  <c r="T16" i="5" s="1"/>
  <c r="S17" i="5"/>
  <c r="T17" i="5" s="1" a="1"/>
  <c r="T17" i="5" s="1"/>
  <c r="S18" i="5"/>
  <c r="T18" i="5" s="1" a="1"/>
  <c r="T18" i="5" s="1"/>
  <c r="S19" i="5"/>
  <c r="T19" i="5" s="1" a="1"/>
  <c r="T19" i="5" s="1"/>
  <c r="S20" i="5"/>
  <c r="T20" i="5" s="1" a="1"/>
  <c r="S21" i="5"/>
  <c r="T21" i="5" s="1" a="1"/>
  <c r="T21" i="5" s="1"/>
  <c r="S22" i="5"/>
  <c r="T22" i="5" s="1" a="1"/>
  <c r="S23" i="5"/>
  <c r="T23" i="5" s="1" a="1"/>
  <c r="S24" i="5"/>
  <c r="T24" i="5" s="1" a="1"/>
  <c r="T24" i="5" s="1"/>
  <c r="S25" i="5"/>
  <c r="T25" i="5" s="1" a="1"/>
  <c r="T25" i="5" s="1"/>
  <c r="S26" i="5"/>
  <c r="T26" i="5" s="1" a="1"/>
  <c r="T26" i="5" s="1"/>
  <c r="S27" i="5"/>
  <c r="T27" i="5" s="1" a="1"/>
  <c r="T27" i="5" s="1"/>
  <c r="S28" i="5"/>
  <c r="T28" i="5" s="1" a="1"/>
  <c r="T28" i="5" s="1"/>
  <c r="S29" i="5"/>
  <c r="T29" i="5" s="1" a="1"/>
  <c r="T29" i="5" s="1"/>
  <c r="S30" i="5"/>
  <c r="T30" i="5" s="1" a="1"/>
  <c r="T30" i="5" s="1"/>
  <c r="S31" i="5"/>
  <c r="T31" i="5" s="1" a="1"/>
  <c r="T31" i="5" s="1"/>
  <c r="S32" i="5"/>
  <c r="T32" i="5" s="1" a="1"/>
  <c r="T32" i="5" s="1"/>
  <c r="S33" i="5"/>
  <c r="T33" i="5" s="1" a="1"/>
  <c r="T33" i="5" s="1"/>
  <c r="S34" i="5"/>
  <c r="T34" i="5" s="1" a="1"/>
  <c r="T34" i="5" s="1"/>
  <c r="S35" i="5"/>
  <c r="T35" i="5" s="1" a="1"/>
  <c r="T35" i="5" s="1"/>
  <c r="S36" i="5"/>
  <c r="T36" i="5" s="1" a="1"/>
  <c r="S37" i="5"/>
  <c r="T37" i="5" s="1" a="1"/>
  <c r="T37" i="5" s="1"/>
  <c r="S38" i="5"/>
  <c r="T38" i="5" s="1" a="1"/>
  <c r="T38" i="5" s="1"/>
  <c r="S39" i="5"/>
  <c r="T39" i="5" s="1" a="1"/>
  <c r="T39" i="5" s="1"/>
  <c r="S40" i="5"/>
  <c r="T40" i="5" s="1" a="1"/>
  <c r="T40" i="5" s="1"/>
  <c r="S41" i="5"/>
  <c r="T41" i="5" s="1" a="1"/>
  <c r="T41" i="5" s="1"/>
  <c r="S42" i="5"/>
  <c r="T42" i="5" s="1" a="1"/>
  <c r="T42" i="5" s="1"/>
  <c r="S43" i="5"/>
  <c r="T43" i="5" s="1" a="1"/>
  <c r="T43" i="5" s="1"/>
  <c r="S44" i="5"/>
  <c r="T44" i="5" s="1" a="1"/>
  <c r="T44" i="5" s="1"/>
  <c r="S45" i="5"/>
  <c r="T45" i="5" s="1" a="1"/>
  <c r="T45" i="5" s="1"/>
  <c r="S46" i="5"/>
  <c r="T46" i="5" s="1" a="1"/>
  <c r="T46" i="5" s="1"/>
  <c r="S47" i="5"/>
  <c r="T47" i="5" s="1" a="1"/>
  <c r="T47" i="5" s="1"/>
  <c r="S48" i="5"/>
  <c r="T48" i="5" s="1" a="1"/>
  <c r="T48" i="5" s="1"/>
  <c r="S49" i="5"/>
  <c r="T49" i="5" s="1" a="1"/>
  <c r="T49" i="5" s="1"/>
  <c r="S50" i="5"/>
  <c r="T50" i="5" s="1" a="1"/>
  <c r="T50" i="5" s="1"/>
  <c r="S51" i="5"/>
  <c r="T51" i="5" s="1" a="1"/>
  <c r="T51" i="5" s="1"/>
  <c r="S52" i="5"/>
  <c r="T52" i="5" s="1" a="1"/>
  <c r="S53" i="5"/>
  <c r="T53" i="5" s="1" a="1"/>
  <c r="T53" i="5" s="1"/>
  <c r="S54" i="5"/>
  <c r="T54" i="5" s="1" a="1"/>
  <c r="T54" i="5" s="1"/>
  <c r="S55" i="5"/>
  <c r="T55" i="5" s="1" a="1"/>
  <c r="T55" i="5" s="1"/>
  <c r="S56" i="5"/>
  <c r="T56" i="5" s="1" a="1"/>
  <c r="T56" i="5" s="1"/>
  <c r="S57" i="5"/>
  <c r="T57" i="5" s="1" a="1"/>
  <c r="T57" i="5" s="1"/>
  <c r="S58" i="5"/>
  <c r="T58" i="5" s="1" a="1"/>
  <c r="T58" i="5" s="1"/>
  <c r="S59" i="5"/>
  <c r="T59" i="5" s="1" a="1"/>
  <c r="T59" i="5" s="1"/>
  <c r="S60" i="5"/>
  <c r="T60" i="5" s="1" a="1"/>
  <c r="T60" i="5" s="1"/>
  <c r="S61" i="5"/>
  <c r="T61" i="5" s="1" a="1"/>
  <c r="T61" i="5" s="1"/>
  <c r="S62" i="5"/>
  <c r="T62" i="5" s="1" a="1"/>
  <c r="T62" i="5" s="1"/>
  <c r="S63" i="5"/>
  <c r="T63" i="5" s="1" a="1"/>
  <c r="T63" i="5" s="1"/>
  <c r="S64" i="5"/>
  <c r="T64" i="5" s="1" a="1"/>
  <c r="T64" i="5" s="1"/>
  <c r="S65" i="5"/>
  <c r="T65" i="5" s="1" a="1"/>
  <c r="T65" i="5" s="1"/>
  <c r="S66" i="5"/>
  <c r="T66" i="5" s="1" a="1"/>
  <c r="T66" i="5" s="1"/>
  <c r="S67" i="5"/>
  <c r="T67" i="5" s="1" a="1"/>
  <c r="T67" i="5" s="1"/>
  <c r="S68" i="5"/>
  <c r="T68" i="5" s="1" a="1"/>
  <c r="T68" i="5" s="1"/>
  <c r="S69" i="5"/>
  <c r="T69" i="5" s="1" a="1"/>
  <c r="T69" i="5" s="1"/>
  <c r="S70" i="5"/>
  <c r="T70" i="5" s="1" a="1"/>
  <c r="T70" i="5" s="1"/>
  <c r="S71" i="5"/>
  <c r="T71" i="5" s="1" a="1"/>
  <c r="T71" i="5" s="1"/>
  <c r="S72" i="5"/>
  <c r="T72" i="5" s="1" a="1"/>
  <c r="T72" i="5" s="1"/>
  <c r="S73" i="5"/>
  <c r="T73" i="5" s="1" a="1"/>
  <c r="T73" i="5" s="1"/>
  <c r="S74" i="5"/>
  <c r="T74" i="5" s="1" a="1"/>
  <c r="T74" i="5" s="1"/>
  <c r="S75" i="5"/>
  <c r="T75" i="5" s="1" a="1"/>
  <c r="T75" i="5" s="1"/>
  <c r="S76" i="5"/>
  <c r="T76" i="5" s="1" a="1"/>
  <c r="T76" i="5" s="1"/>
  <c r="S77" i="5"/>
  <c r="T77" i="5" s="1" a="1"/>
  <c r="T77" i="5" s="1"/>
  <c r="S78" i="5"/>
  <c r="T78" i="5" s="1" a="1"/>
  <c r="T78" i="5" s="1"/>
  <c r="S79" i="5"/>
  <c r="T79" i="5" s="1" a="1"/>
  <c r="T79" i="5" s="1"/>
  <c r="S80" i="5"/>
  <c r="T80" i="5" s="1" a="1"/>
  <c r="T80" i="5" s="1"/>
  <c r="S81" i="5"/>
  <c r="T81" i="5" s="1" a="1"/>
  <c r="T81" i="5" s="1"/>
  <c r="S82" i="5"/>
  <c r="T82" i="5" s="1" a="1"/>
  <c r="T82" i="5" s="1"/>
  <c r="S83" i="5"/>
  <c r="T83" i="5" s="1" a="1"/>
  <c r="T83" i="5" s="1"/>
  <c r="S84" i="5"/>
  <c r="T84" i="5" s="1" a="1"/>
  <c r="T84" i="5" s="1"/>
  <c r="S85" i="5"/>
  <c r="T85" i="5" s="1" a="1"/>
  <c r="T85" i="5" s="1"/>
  <c r="S86" i="5"/>
  <c r="T86" i="5" s="1" a="1"/>
  <c r="T86" i="5" s="1"/>
  <c r="S87" i="5"/>
  <c r="T87" i="5" s="1" a="1"/>
  <c r="T87" i="5" s="1"/>
  <c r="S88" i="5"/>
  <c r="T88" i="5" s="1" a="1"/>
  <c r="T88" i="5" s="1"/>
  <c r="S89" i="5"/>
  <c r="T89" i="5" s="1" a="1"/>
  <c r="T89" i="5" s="1"/>
  <c r="S90" i="5"/>
  <c r="T90" i="5" s="1" a="1"/>
  <c r="T90" i="5" s="1"/>
  <c r="S91" i="5"/>
  <c r="T91" i="5" s="1" a="1"/>
  <c r="T91" i="5" s="1"/>
  <c r="S92" i="5"/>
  <c r="T92" i="5" s="1" a="1"/>
  <c r="T92" i="5" s="1"/>
  <c r="S93" i="5"/>
  <c r="T93" i="5" s="1" a="1"/>
  <c r="T93" i="5" s="1"/>
  <c r="S94" i="5"/>
  <c r="T94" i="5" s="1" a="1"/>
  <c r="T94" i="5" s="1"/>
  <c r="S95" i="5"/>
  <c r="T95" i="5" s="1" a="1"/>
  <c r="T95" i="5" s="1"/>
  <c r="S96" i="5"/>
  <c r="T96" i="5" s="1" a="1"/>
  <c r="T96" i="5" s="1"/>
  <c r="S97" i="5"/>
  <c r="T97" i="5" s="1" a="1"/>
  <c r="T97" i="5" s="1"/>
  <c r="S98" i="5"/>
  <c r="T98" i="5" s="1" a="1"/>
  <c r="T98" i="5" s="1"/>
  <c r="S99" i="5"/>
  <c r="T99" i="5" s="1" a="1"/>
  <c r="T99" i="5" s="1"/>
  <c r="S100" i="5"/>
  <c r="T100" i="5" s="1" a="1"/>
  <c r="T100" i="5" s="1"/>
  <c r="S101" i="5"/>
  <c r="T101" i="5" s="1" a="1"/>
  <c r="T101" i="5" s="1"/>
  <c r="S102" i="5"/>
  <c r="T102" i="5" s="1" a="1"/>
  <c r="T102" i="5" s="1"/>
  <c r="S103" i="5"/>
  <c r="T103" i="5" s="1" a="1"/>
  <c r="T103" i="5" s="1"/>
  <c r="S104" i="5"/>
  <c r="T104" i="5" s="1" a="1"/>
  <c r="T104" i="5" s="1"/>
  <c r="S105" i="5"/>
  <c r="T105" i="5" s="1" a="1"/>
  <c r="T105" i="5" s="1"/>
  <c r="S106" i="5"/>
  <c r="T106" i="5" s="1" a="1"/>
  <c r="T106" i="5" s="1"/>
  <c r="S107" i="5"/>
  <c r="T107" i="5" s="1" a="1"/>
  <c r="T107" i="5" s="1"/>
  <c r="S108" i="5"/>
  <c r="T108" i="5" s="1" a="1"/>
  <c r="T108" i="5" s="1"/>
  <c r="S109" i="5"/>
  <c r="T109" i="5" s="1" a="1"/>
  <c r="T109" i="5" s="1"/>
  <c r="S110" i="5"/>
  <c r="T110" i="5" s="1" a="1"/>
  <c r="T110" i="5" s="1"/>
  <c r="S111" i="5"/>
  <c r="T111" i="5" s="1" a="1"/>
  <c r="T111" i="5" s="1"/>
  <c r="S112" i="5"/>
  <c r="T112" i="5" s="1" a="1"/>
  <c r="T112" i="5" s="1"/>
  <c r="S113" i="5"/>
  <c r="T113" i="5" s="1" a="1"/>
  <c r="T113" i="5" s="1"/>
  <c r="S114" i="5"/>
  <c r="T114" i="5" s="1" a="1"/>
  <c r="T114" i="5" s="1"/>
  <c r="S115" i="5"/>
  <c r="T115" i="5" s="1" a="1"/>
  <c r="T115" i="5" s="1"/>
  <c r="S116" i="5"/>
  <c r="T116" i="5" s="1" a="1"/>
  <c r="S117" i="5"/>
  <c r="T117" i="5" s="1" a="1"/>
  <c r="T117" i="5" s="1"/>
  <c r="S118" i="5"/>
  <c r="T118" i="5" s="1" a="1"/>
  <c r="T118" i="5" s="1"/>
  <c r="S119" i="5"/>
  <c r="T119" i="5" s="1" a="1"/>
  <c r="T119" i="5" s="1"/>
  <c r="S120" i="5"/>
  <c r="T120" i="5" s="1" a="1"/>
  <c r="T120" i="5" s="1"/>
  <c r="S121" i="5"/>
  <c r="T121" i="5" s="1" a="1"/>
  <c r="T121" i="5" s="1"/>
  <c r="S122" i="5"/>
  <c r="T122" i="5" s="1" a="1"/>
  <c r="T122" i="5" s="1"/>
  <c r="S123" i="5"/>
  <c r="T123" i="5" s="1" a="1"/>
  <c r="T123" i="5" s="1"/>
  <c r="S124" i="5"/>
  <c r="T124" i="5" s="1" a="1"/>
  <c r="T124" i="5" s="1"/>
  <c r="S125" i="5"/>
  <c r="T125" i="5" s="1" a="1"/>
  <c r="T125" i="5" s="1"/>
  <c r="S126" i="5"/>
  <c r="T126" i="5" s="1" a="1"/>
  <c r="T126" i="5" s="1"/>
  <c r="S127" i="5"/>
  <c r="T127" i="5" s="1" a="1"/>
  <c r="T127" i="5" s="1"/>
  <c r="S128" i="5"/>
  <c r="T128" i="5" s="1" a="1"/>
  <c r="T128" i="5" s="1"/>
  <c r="S129" i="5"/>
  <c r="T129" i="5" s="1" a="1"/>
  <c r="T129" i="5" s="1"/>
  <c r="S130" i="5"/>
  <c r="T130" i="5" s="1" a="1"/>
  <c r="T130" i="5" s="1"/>
  <c r="S131" i="5"/>
  <c r="T131" i="5" s="1" a="1"/>
  <c r="T131" i="5" s="1"/>
  <c r="S132" i="5"/>
  <c r="T132" i="5" s="1" a="1"/>
  <c r="T132" i="5" s="1"/>
  <c r="S133" i="5"/>
  <c r="T133" i="5" s="1" a="1"/>
  <c r="T133" i="5" s="1"/>
  <c r="S134" i="5"/>
  <c r="T134" i="5" s="1" a="1"/>
  <c r="T134" i="5" s="1"/>
  <c r="S135" i="5"/>
  <c r="T135" i="5" s="1" a="1"/>
  <c r="T135" i="5" s="1"/>
  <c r="S136" i="5"/>
  <c r="T136" i="5" s="1" a="1"/>
  <c r="T136" i="5" s="1"/>
  <c r="S137" i="5"/>
  <c r="T137" i="5" s="1" a="1"/>
  <c r="T137" i="5" s="1"/>
  <c r="S138" i="5"/>
  <c r="T138" i="5" s="1" a="1"/>
  <c r="T138" i="5" s="1"/>
  <c r="S139" i="5"/>
  <c r="T139" i="5" s="1" a="1"/>
  <c r="T139" i="5" s="1"/>
  <c r="S140" i="5"/>
  <c r="T140" i="5" s="1" a="1"/>
  <c r="T140" i="5" s="1"/>
  <c r="S141" i="5"/>
  <c r="T141" i="5" s="1" a="1"/>
  <c r="T141" i="5" s="1"/>
  <c r="S142" i="5"/>
  <c r="T142" i="5" s="1" a="1"/>
  <c r="T142" i="5" s="1"/>
  <c r="S143" i="5"/>
  <c r="T143" i="5" s="1" a="1"/>
  <c r="T143" i="5" s="1"/>
  <c r="S144" i="5"/>
  <c r="T144" i="5" s="1" a="1"/>
  <c r="T144" i="5" s="1"/>
  <c r="S145" i="5"/>
  <c r="T145" i="5" s="1" a="1"/>
  <c r="T145" i="5" s="1"/>
  <c r="S146" i="5"/>
  <c r="T146" i="5" s="1" a="1"/>
  <c r="T146" i="5" s="1"/>
  <c r="S147" i="5"/>
  <c r="T147" i="5" s="1" a="1"/>
  <c r="T147" i="5" s="1"/>
  <c r="S148" i="5"/>
  <c r="T148" i="5" s="1" a="1"/>
  <c r="S149" i="5"/>
  <c r="T149" i="5" s="1" a="1"/>
  <c r="T149" i="5" s="1"/>
  <c r="S150" i="5"/>
  <c r="T150" i="5" s="1" a="1"/>
  <c r="T150" i="5" s="1"/>
  <c r="S151" i="5"/>
  <c r="T151" i="5" s="1" a="1"/>
  <c r="T151" i="5" s="1"/>
  <c r="S152" i="5"/>
  <c r="T152" i="5" s="1" a="1"/>
  <c r="T152" i="5" s="1"/>
  <c r="S153" i="5"/>
  <c r="T153" i="5" s="1" a="1"/>
  <c r="T153" i="5" s="1"/>
  <c r="S154" i="5"/>
  <c r="T154" i="5" s="1" a="1"/>
  <c r="T154" i="5" s="1"/>
  <c r="S155" i="5"/>
  <c r="T155" i="5" s="1" a="1"/>
  <c r="T155" i="5" s="1"/>
  <c r="S156" i="5"/>
  <c r="T156" i="5" s="1" a="1"/>
  <c r="T156" i="5" s="1"/>
  <c r="S157" i="5"/>
  <c r="T157" i="5" s="1" a="1"/>
  <c r="T157" i="5" s="1"/>
  <c r="S158" i="5"/>
  <c r="T158" i="5" s="1" a="1"/>
  <c r="T158" i="5" s="1"/>
  <c r="S159" i="5"/>
  <c r="T159" i="5" s="1" a="1"/>
  <c r="T159" i="5" s="1"/>
  <c r="S160" i="5"/>
  <c r="T160" i="5" s="1" a="1"/>
  <c r="T160" i="5" s="1"/>
  <c r="S161" i="5"/>
  <c r="T161" i="5" s="1" a="1"/>
  <c r="T161" i="5" s="1"/>
  <c r="S162" i="5"/>
  <c r="T162" i="5" s="1" a="1"/>
  <c r="T162" i="5" s="1"/>
  <c r="S163" i="5"/>
  <c r="T163" i="5" s="1" a="1"/>
  <c r="T163" i="5" s="1"/>
  <c r="S164" i="5"/>
  <c r="T164" i="5" s="1" a="1"/>
  <c r="T164" i="5" s="1"/>
  <c r="S165" i="5"/>
  <c r="T165" i="5" s="1" a="1"/>
  <c r="T165" i="5" s="1"/>
  <c r="S166" i="5"/>
  <c r="T166" i="5" s="1" a="1"/>
  <c r="T166" i="5" s="1"/>
  <c r="S167" i="5"/>
  <c r="T167" i="5" s="1" a="1"/>
  <c r="T167" i="5" s="1"/>
  <c r="S168" i="5"/>
  <c r="T168" i="5" s="1" a="1"/>
  <c r="T168" i="5" s="1"/>
  <c r="S169" i="5"/>
  <c r="T169" i="5" s="1" a="1"/>
  <c r="T169" i="5" s="1"/>
  <c r="S170" i="5"/>
  <c r="T170" i="5" s="1" a="1"/>
  <c r="T170" i="5" s="1"/>
  <c r="S171" i="5"/>
  <c r="T171" i="5" s="1" a="1"/>
  <c r="T171" i="5" s="1"/>
  <c r="S172" i="5"/>
  <c r="T172" i="5" s="1" a="1"/>
  <c r="T172" i="5" s="1"/>
  <c r="S173" i="5"/>
  <c r="T173" i="5" s="1" a="1"/>
  <c r="T173" i="5" s="1"/>
  <c r="S174" i="5"/>
  <c r="T174" i="5" s="1" a="1"/>
  <c r="T174" i="5" s="1"/>
  <c r="S175" i="5"/>
  <c r="T175" i="5" s="1" a="1"/>
  <c r="T175" i="5" s="1"/>
  <c r="S176" i="5"/>
  <c r="T176" i="5" s="1" a="1"/>
  <c r="T176" i="5" s="1"/>
  <c r="S177" i="5"/>
  <c r="T177" i="5" s="1" a="1"/>
  <c r="T177" i="5" s="1"/>
  <c r="S178" i="5"/>
  <c r="T178" i="5" s="1" a="1"/>
  <c r="T178" i="5" s="1"/>
  <c r="S179" i="5"/>
  <c r="T179" i="5" s="1" a="1"/>
  <c r="T179" i="5" s="1"/>
  <c r="S180" i="5"/>
  <c r="T180" i="5" s="1" a="1"/>
  <c r="T180" i="5" s="1"/>
  <c r="S181" i="5"/>
  <c r="T181" i="5" s="1" a="1"/>
  <c r="T181" i="5" s="1"/>
  <c r="S182" i="5"/>
  <c r="T182" i="5" s="1" a="1"/>
  <c r="T182" i="5" s="1"/>
  <c r="S183" i="5"/>
  <c r="T183" i="5" s="1" a="1"/>
  <c r="T183" i="5" s="1"/>
  <c r="S184" i="5"/>
  <c r="T184" i="5" s="1" a="1"/>
  <c r="T184" i="5" s="1"/>
  <c r="S185" i="5"/>
  <c r="T185" i="5" s="1" a="1"/>
  <c r="T185" i="5" s="1"/>
  <c r="S186" i="5"/>
  <c r="T186" i="5" s="1" a="1"/>
  <c r="T186" i="5" s="1"/>
  <c r="S187" i="5"/>
  <c r="T187" i="5" s="1" a="1"/>
  <c r="T187" i="5" s="1"/>
  <c r="S188" i="5"/>
  <c r="T188" i="5" s="1" a="1"/>
  <c r="T188" i="5" s="1"/>
  <c r="S189" i="5"/>
  <c r="T189" i="5" s="1" a="1"/>
  <c r="T189" i="5" s="1"/>
  <c r="S190" i="5"/>
  <c r="T190" i="5" s="1" a="1"/>
  <c r="T190" i="5" s="1"/>
  <c r="S191" i="5"/>
  <c r="T191" i="5" s="1" a="1"/>
  <c r="T191" i="5" s="1"/>
  <c r="S192" i="5"/>
  <c r="T192" i="5" s="1" a="1"/>
  <c r="T192" i="5" s="1"/>
  <c r="S193" i="5"/>
  <c r="T193" i="5" s="1" a="1"/>
  <c r="T193" i="5" s="1"/>
  <c r="S194" i="5"/>
  <c r="T194" i="5" s="1" a="1"/>
  <c r="T194" i="5" s="1"/>
  <c r="S195" i="5"/>
  <c r="T195" i="5" s="1" a="1"/>
  <c r="T195" i="5" s="1"/>
  <c r="S196" i="5"/>
  <c r="T196" i="5" s="1" a="1"/>
  <c r="T196" i="5" s="1"/>
  <c r="S197" i="5"/>
  <c r="T197" i="5" s="1" a="1"/>
  <c r="T197" i="5" s="1"/>
  <c r="S198" i="5"/>
  <c r="T198" i="5" s="1" a="1"/>
  <c r="T198" i="5" s="1"/>
  <c r="S199" i="5"/>
  <c r="T199" i="5" s="1" a="1"/>
  <c r="T199" i="5" s="1"/>
  <c r="S200" i="5"/>
  <c r="T200" i="5" s="1" a="1"/>
  <c r="T200" i="5" s="1"/>
  <c r="S201" i="5"/>
  <c r="T201" i="5" s="1" a="1"/>
  <c r="T201" i="5" s="1"/>
  <c r="S202" i="5"/>
  <c r="T202" i="5" s="1" a="1"/>
  <c r="T202" i="5" s="1"/>
  <c r="S203" i="5"/>
  <c r="T203" i="5" s="1" a="1"/>
  <c r="T203" i="5" s="1"/>
  <c r="S204" i="5"/>
  <c r="T204" i="5" s="1" a="1"/>
  <c r="T204" i="5" s="1"/>
  <c r="S205" i="5"/>
  <c r="T205" i="5" s="1" a="1"/>
  <c r="T205" i="5" s="1"/>
  <c r="S206" i="5"/>
  <c r="T206" i="5" s="1" a="1"/>
  <c r="T206" i="5" s="1"/>
  <c r="S207" i="5"/>
  <c r="T207" i="5" s="1" a="1"/>
  <c r="T207" i="5" s="1"/>
  <c r="S208" i="5"/>
  <c r="T208" i="5" s="1" a="1"/>
  <c r="T208" i="5" s="1"/>
  <c r="S209" i="5"/>
  <c r="T209" i="5" s="1" a="1"/>
  <c r="T209" i="5" s="1"/>
  <c r="S210" i="5"/>
  <c r="T210" i="5" s="1" a="1"/>
  <c r="T210" i="5" s="1"/>
  <c r="S211" i="5"/>
  <c r="T211" i="5" s="1" a="1"/>
  <c r="T211" i="5" s="1"/>
  <c r="S212" i="5"/>
  <c r="T212" i="5" s="1" a="1"/>
  <c r="T212" i="5" s="1"/>
  <c r="S213" i="5"/>
  <c r="T213" i="5" s="1" a="1"/>
  <c r="T213" i="5" s="1"/>
  <c r="S214" i="5"/>
  <c r="T214" i="5" s="1" a="1"/>
  <c r="T214" i="5" s="1"/>
  <c r="S215" i="5"/>
  <c r="T215" i="5" s="1" a="1"/>
  <c r="S216" i="5"/>
  <c r="T216" i="5" s="1" a="1"/>
  <c r="S217" i="5"/>
  <c r="T217" i="5" s="1" a="1"/>
  <c r="S218" i="5"/>
  <c r="T218" i="5" s="1" a="1"/>
  <c r="T218" i="5" s="1"/>
  <c r="S219" i="5"/>
  <c r="T219" i="5" s="1" a="1"/>
  <c r="T219" i="5" s="1"/>
  <c r="S220" i="5"/>
  <c r="T220" i="5" s="1" a="1"/>
  <c r="T220" i="5" s="1"/>
  <c r="S221" i="5"/>
  <c r="T221" i="5" s="1" a="1"/>
  <c r="T221" i="5" s="1"/>
  <c r="S222" i="5"/>
  <c r="T222" i="5" s="1" a="1"/>
  <c r="T222" i="5" s="1"/>
  <c r="S223" i="5"/>
  <c r="T223" i="5" s="1" a="1"/>
  <c r="T223" i="5" s="1"/>
  <c r="S224" i="5"/>
  <c r="T224" i="5" s="1" a="1"/>
  <c r="T224" i="5" s="1"/>
  <c r="S225" i="5"/>
  <c r="T225" i="5" s="1" a="1"/>
  <c r="T225" i="5" s="1"/>
  <c r="S226" i="5"/>
  <c r="T226" i="5" s="1" a="1"/>
  <c r="T226" i="5" s="1"/>
  <c r="S227" i="5"/>
  <c r="T227" i="5" s="1" a="1"/>
  <c r="T227" i="5" s="1"/>
  <c r="S228" i="5"/>
  <c r="T228" i="5" s="1" a="1"/>
  <c r="S229" i="5"/>
  <c r="T229" i="5" s="1" a="1"/>
  <c r="T229" i="5" s="1"/>
  <c r="S230" i="5"/>
  <c r="T230" i="5" s="1" a="1"/>
  <c r="T230" i="5" s="1"/>
  <c r="S231" i="5"/>
  <c r="T231" i="5" s="1" a="1"/>
  <c r="T231" i="5" s="1"/>
  <c r="S232" i="5"/>
  <c r="T232" i="5" s="1" a="1"/>
  <c r="T232" i="5" s="1"/>
  <c r="S233" i="5"/>
  <c r="T233" i="5" s="1" a="1"/>
  <c r="T233" i="5" s="1"/>
  <c r="S234" i="5"/>
  <c r="T234" i="5" s="1" a="1"/>
  <c r="T234" i="5" s="1"/>
  <c r="S235" i="5"/>
  <c r="T235" i="5" s="1" a="1"/>
  <c r="T235" i="5" s="1"/>
  <c r="S236" i="5"/>
  <c r="T236" i="5" s="1" a="1"/>
  <c r="T236" i="5" s="1"/>
  <c r="S237" i="5"/>
  <c r="T237" i="5" s="1" a="1"/>
  <c r="T237" i="5" s="1"/>
  <c r="S238" i="5"/>
  <c r="T238" i="5" s="1" a="1"/>
  <c r="T238" i="5" s="1"/>
  <c r="S239" i="5"/>
  <c r="T239" i="5" s="1" a="1"/>
  <c r="T239" i="5" s="1"/>
  <c r="S240" i="5"/>
  <c r="T240" i="5" s="1" a="1"/>
  <c r="T240" i="5" s="1"/>
  <c r="S241" i="5"/>
  <c r="T241" i="5" s="1" a="1"/>
  <c r="T241" i="5" s="1"/>
  <c r="S242" i="5"/>
  <c r="T242" i="5" s="1" a="1"/>
  <c r="T242" i="5" s="1"/>
  <c r="S243" i="5"/>
  <c r="T243" i="5" s="1" a="1"/>
  <c r="T243" i="5" s="1"/>
  <c r="S244" i="5"/>
  <c r="T244" i="5" s="1" a="1"/>
  <c r="S245" i="5"/>
  <c r="T245" i="5" s="1" a="1"/>
  <c r="T245" i="5" s="1"/>
  <c r="S246" i="5"/>
  <c r="T246" i="5" s="1" a="1"/>
  <c r="T246" i="5" s="1"/>
  <c r="S247" i="5"/>
  <c r="T247" i="5" s="1" a="1"/>
  <c r="T247" i="5" s="1"/>
  <c r="S248" i="5"/>
  <c r="T248" i="5" s="1" a="1"/>
  <c r="T248" i="5" s="1"/>
  <c r="S249" i="5"/>
  <c r="T249" i="5" s="1" a="1"/>
  <c r="T249" i="5" s="1"/>
  <c r="S250" i="5"/>
  <c r="T250" i="5" s="1" a="1"/>
  <c r="T250" i="5" s="1"/>
  <c r="S251" i="5"/>
  <c r="T251" i="5" s="1" a="1"/>
  <c r="T251" i="5" s="1"/>
  <c r="S252" i="5"/>
  <c r="T252" i="5" s="1" a="1"/>
  <c r="T252" i="5" s="1"/>
  <c r="S253" i="5"/>
  <c r="T253" i="5" s="1" a="1"/>
  <c r="T253" i="5" s="1"/>
  <c r="S254" i="5"/>
  <c r="T254" i="5" s="1" a="1"/>
  <c r="T254" i="5" s="1"/>
  <c r="S255" i="5"/>
  <c r="T255" i="5" s="1" a="1"/>
  <c r="T255" i="5" s="1"/>
  <c r="S256" i="5"/>
  <c r="T256" i="5" s="1" a="1"/>
  <c r="T256" i="5" s="1"/>
  <c r="S257" i="5"/>
  <c r="T257" i="5" s="1" a="1"/>
  <c r="T257" i="5" s="1"/>
  <c r="S258" i="5"/>
  <c r="T258" i="5" s="1" a="1"/>
  <c r="T258" i="5" s="1"/>
  <c r="S259" i="5"/>
  <c r="T259" i="5" s="1" a="1"/>
  <c r="T259" i="5" s="1"/>
  <c r="S260" i="5"/>
  <c r="T260" i="5" s="1" a="1"/>
  <c r="S261" i="5"/>
  <c r="T261" i="5" s="1" a="1"/>
  <c r="T261" i="5" s="1"/>
  <c r="S262" i="5"/>
  <c r="T262" i="5" s="1" a="1"/>
  <c r="T262" i="5" s="1"/>
  <c r="S263" i="5"/>
  <c r="T263" i="5" s="1" a="1"/>
  <c r="T263" i="5" s="1"/>
  <c r="S264" i="5"/>
  <c r="T264" i="5" s="1" a="1"/>
  <c r="T264" i="5" s="1"/>
  <c r="S265" i="5"/>
  <c r="T265" i="5" s="1" a="1"/>
  <c r="T265" i="5" s="1"/>
  <c r="S266" i="5"/>
  <c r="T266" i="5" s="1" a="1"/>
  <c r="T266" i="5" s="1"/>
  <c r="S267" i="5"/>
  <c r="T267" i="5" s="1" a="1"/>
  <c r="T267" i="5" s="1"/>
  <c r="S268" i="5"/>
  <c r="T268" i="5" s="1" a="1"/>
  <c r="T268" i="5" s="1"/>
  <c r="S269" i="5"/>
  <c r="T269" i="5" s="1" a="1"/>
  <c r="T269" i="5" s="1"/>
  <c r="S270" i="5"/>
  <c r="T270" i="5" s="1" a="1"/>
  <c r="T270" i="5" s="1"/>
  <c r="S271" i="5"/>
  <c r="T271" i="5" s="1" a="1"/>
  <c r="T271" i="5" s="1"/>
  <c r="S272" i="5"/>
  <c r="T272" i="5" s="1" a="1"/>
  <c r="T272" i="5" s="1"/>
  <c r="S273" i="5"/>
  <c r="T273" i="5" s="1" a="1"/>
  <c r="T273" i="5" s="1"/>
  <c r="S274" i="5"/>
  <c r="T274" i="5" s="1" a="1"/>
  <c r="T274" i="5" s="1"/>
  <c r="S275" i="5"/>
  <c r="T275" i="5" s="1" a="1"/>
  <c r="T275" i="5" s="1"/>
  <c r="S276" i="5"/>
  <c r="T276" i="5" s="1" a="1"/>
  <c r="T276" i="5" s="1"/>
  <c r="S277" i="5"/>
  <c r="T277" i="5" s="1" a="1"/>
  <c r="T277" i="5" s="1"/>
  <c r="S278" i="5"/>
  <c r="T278" i="5" s="1" a="1"/>
  <c r="T278" i="5" s="1"/>
  <c r="S279" i="5"/>
  <c r="T279" i="5" s="1" a="1"/>
  <c r="T279" i="5" s="1"/>
  <c r="S280" i="5"/>
  <c r="T280" i="5" s="1" a="1"/>
  <c r="T280" i="5" s="1"/>
  <c r="S281" i="5"/>
  <c r="T281" i="5" s="1" a="1"/>
  <c r="T281" i="5" s="1"/>
  <c r="S282" i="5"/>
  <c r="T282" i="5" s="1" a="1"/>
  <c r="T282" i="5" s="1"/>
  <c r="S283" i="5"/>
  <c r="T283" i="5" s="1" a="1"/>
  <c r="T283" i="5" s="1"/>
  <c r="S284" i="5"/>
  <c r="T284" i="5" s="1" a="1"/>
  <c r="T284" i="5" s="1"/>
  <c r="S285" i="5"/>
  <c r="T285" i="5" s="1" a="1"/>
  <c r="T285" i="5" s="1"/>
  <c r="S286" i="5"/>
  <c r="T286" i="5" s="1" a="1"/>
  <c r="T286" i="5" s="1"/>
  <c r="S287" i="5"/>
  <c r="T287" i="5" s="1" a="1"/>
  <c r="T287" i="5" s="1"/>
  <c r="S288" i="5"/>
  <c r="T288" i="5" s="1" a="1"/>
  <c r="T288" i="5" s="1"/>
  <c r="S289" i="5"/>
  <c r="T289" i="5" s="1" a="1"/>
  <c r="T289" i="5" s="1"/>
  <c r="S290" i="5"/>
  <c r="T290" i="5" s="1" a="1"/>
  <c r="T290" i="5" s="1"/>
  <c r="S291" i="5"/>
  <c r="T291" i="5" s="1" a="1"/>
  <c r="T291" i="5" s="1"/>
  <c r="S292" i="5"/>
  <c r="T292" i="5" s="1" a="1"/>
  <c r="T292" i="5" s="1"/>
  <c r="S293" i="5"/>
  <c r="T293" i="5" s="1" a="1"/>
  <c r="T293" i="5" s="1"/>
  <c r="S294" i="5"/>
  <c r="T294" i="5" s="1" a="1"/>
  <c r="T294" i="5" s="1"/>
  <c r="S295" i="5"/>
  <c r="T295" i="5" s="1" a="1"/>
  <c r="T295" i="5" s="1"/>
  <c r="S296" i="5"/>
  <c r="T296" i="5" s="1" a="1"/>
  <c r="T296" i="5" s="1"/>
  <c r="S297" i="5"/>
  <c r="T297" i="5" s="1" a="1"/>
  <c r="T297" i="5" s="1"/>
  <c r="S298" i="5"/>
  <c r="T298" i="5" s="1" a="1"/>
  <c r="T298" i="5" s="1"/>
  <c r="S299" i="5"/>
  <c r="T299" i="5" s="1" a="1"/>
  <c r="T299" i="5" s="1"/>
  <c r="S300" i="5"/>
  <c r="T300" i="5" s="1" a="1"/>
  <c r="T300" i="5" s="1"/>
  <c r="S301" i="5"/>
  <c r="T301" i="5" s="1" a="1"/>
  <c r="T301" i="5" s="1"/>
  <c r="S302" i="5"/>
  <c r="T302" i="5" s="1" a="1"/>
  <c r="T302" i="5" s="1"/>
  <c r="S303" i="5"/>
  <c r="T303" i="5" s="1" a="1"/>
  <c r="T303" i="5" s="1"/>
  <c r="S304" i="5"/>
  <c r="T304" i="5" s="1" a="1"/>
  <c r="T304" i="5" s="1"/>
  <c r="S305" i="5"/>
  <c r="T305" i="5" s="1" a="1"/>
  <c r="T305" i="5" s="1"/>
  <c r="S306" i="5"/>
  <c r="T306" i="5" s="1" a="1"/>
  <c r="T306" i="5" s="1"/>
  <c r="S307" i="5"/>
  <c r="T307" i="5" s="1" a="1"/>
  <c r="T307" i="5" s="1"/>
  <c r="S308" i="5"/>
  <c r="T308" i="5" s="1" a="1"/>
  <c r="T308" i="5" s="1"/>
  <c r="S309" i="5"/>
  <c r="T309" i="5" s="1" a="1"/>
  <c r="T309" i="5" s="1"/>
  <c r="S310" i="5"/>
  <c r="T310" i="5" s="1" a="1"/>
  <c r="T310" i="5" s="1"/>
  <c r="S311" i="5"/>
  <c r="T311" i="5" s="1" a="1"/>
  <c r="T311" i="5" s="1"/>
  <c r="S312" i="5"/>
  <c r="T312" i="5" s="1" a="1"/>
  <c r="T312" i="5" s="1"/>
  <c r="S313" i="5"/>
  <c r="T313" i="5" s="1" a="1"/>
  <c r="T313" i="5" s="1"/>
  <c r="S314" i="5"/>
  <c r="T314" i="5" s="1" a="1"/>
  <c r="T314" i="5" s="1"/>
  <c r="S315" i="5"/>
  <c r="T315" i="5" s="1" a="1"/>
  <c r="T315" i="5" s="1"/>
  <c r="S316" i="5"/>
  <c r="T316" i="5" s="1" a="1"/>
  <c r="T316" i="5" s="1"/>
  <c r="S317" i="5"/>
  <c r="T317" i="5" s="1" a="1"/>
  <c r="T317" i="5" s="1"/>
  <c r="S318" i="5"/>
  <c r="T318" i="5" s="1" a="1"/>
  <c r="T318" i="5" s="1"/>
  <c r="S319" i="5"/>
  <c r="T319" i="5" s="1" a="1"/>
  <c r="T319" i="5" s="1"/>
  <c r="S320" i="5"/>
  <c r="T320" i="5" s="1" a="1"/>
  <c r="T320" i="5" s="1"/>
  <c r="S321" i="5"/>
  <c r="T321" i="5" s="1" a="1"/>
  <c r="T321" i="5" s="1"/>
  <c r="S322" i="5"/>
  <c r="T322" i="5" s="1" a="1"/>
  <c r="T322" i="5" s="1"/>
  <c r="S323" i="5"/>
  <c r="T323" i="5" s="1" a="1"/>
  <c r="T323" i="5" s="1"/>
  <c r="S324" i="5"/>
  <c r="T324" i="5" s="1" a="1"/>
  <c r="S325" i="5"/>
  <c r="T325" i="5" s="1" a="1"/>
  <c r="T325" i="5" s="1"/>
  <c r="S326" i="5"/>
  <c r="T326" i="5" s="1" a="1"/>
  <c r="S327" i="5"/>
  <c r="T327" i="5" s="1" a="1"/>
  <c r="T327" i="5" s="1"/>
  <c r="S328" i="5"/>
  <c r="T328" i="5" s="1" a="1"/>
  <c r="T328" i="5" s="1"/>
  <c r="S329" i="5"/>
  <c r="T329" i="5" s="1" a="1"/>
  <c r="T329" i="5" s="1"/>
  <c r="S330" i="5"/>
  <c r="T330" i="5" s="1" a="1"/>
  <c r="T330" i="5" s="1"/>
  <c r="S331" i="5"/>
  <c r="T331" i="5" s="1" a="1"/>
  <c r="T331" i="5" s="1"/>
  <c r="S332" i="5"/>
  <c r="T332" i="5" s="1" a="1"/>
  <c r="T332" i="5" s="1"/>
  <c r="S333" i="5"/>
  <c r="T333" i="5" s="1" a="1"/>
  <c r="T333" i="5" s="1"/>
  <c r="S334" i="5"/>
  <c r="T334" i="5" s="1" a="1"/>
  <c r="T334" i="5" s="1"/>
  <c r="S335" i="5"/>
  <c r="T335" i="5" s="1" a="1"/>
  <c r="T335" i="5" s="1"/>
  <c r="S336" i="5"/>
  <c r="T336" i="5" s="1" a="1"/>
  <c r="T336" i="5" s="1"/>
  <c r="S337" i="5"/>
  <c r="T337" i="5" s="1" a="1"/>
  <c r="T337" i="5" s="1"/>
  <c r="S338" i="5"/>
  <c r="T338" i="5" s="1" a="1"/>
  <c r="T338" i="5" s="1"/>
  <c r="S339" i="5"/>
  <c r="T339" i="5" s="1" a="1"/>
  <c r="T339" i="5" s="1"/>
  <c r="S340" i="5"/>
  <c r="T340" i="5" s="1" a="1"/>
  <c r="S341" i="5"/>
  <c r="T341" i="5" s="1" a="1"/>
  <c r="T341" i="5" s="1"/>
  <c r="S342" i="5"/>
  <c r="T342" i="5" s="1" a="1"/>
  <c r="T342" i="5" s="1"/>
  <c r="S343" i="5"/>
  <c r="T343" i="5" s="1" a="1"/>
  <c r="T343" i="5" s="1"/>
  <c r="S344" i="5"/>
  <c r="T344" i="5" s="1" a="1"/>
  <c r="T344" i="5" s="1"/>
  <c r="S345" i="5"/>
  <c r="T345" i="5" s="1" a="1"/>
  <c r="T345" i="5" s="1"/>
  <c r="S346" i="5"/>
  <c r="T346" i="5" s="1" a="1"/>
  <c r="T346" i="5" s="1"/>
  <c r="S347" i="5"/>
  <c r="T347" i="5" s="1" a="1"/>
  <c r="T347" i="5" s="1"/>
  <c r="S348" i="5"/>
  <c r="T348" i="5" s="1" a="1"/>
  <c r="T348" i="5" s="1"/>
  <c r="S349" i="5"/>
  <c r="T349" i="5" s="1" a="1"/>
  <c r="T349" i="5" s="1"/>
  <c r="S350" i="5"/>
  <c r="T350" i="5" s="1" a="1"/>
  <c r="T350" i="5" s="1"/>
  <c r="S351" i="5"/>
  <c r="T351" i="5" s="1" a="1"/>
  <c r="T351" i="5" s="1"/>
  <c r="S352" i="5"/>
  <c r="T352" i="5" s="1" a="1"/>
  <c r="T352" i="5" s="1"/>
  <c r="S353" i="5"/>
  <c r="T353" i="5" s="1" a="1"/>
  <c r="T353" i="5" s="1"/>
  <c r="S354" i="5"/>
  <c r="T354" i="5" s="1" a="1"/>
  <c r="T354" i="5" s="1"/>
  <c r="S355" i="5"/>
  <c r="T355" i="5" s="1" a="1"/>
  <c r="T355" i="5" s="1"/>
  <c r="S356" i="5"/>
  <c r="T356" i="5" s="1" a="1"/>
  <c r="S357" i="5"/>
  <c r="T357" i="5" s="1" a="1"/>
  <c r="T357" i="5" s="1"/>
  <c r="S358" i="5"/>
  <c r="T358" i="5" s="1" a="1"/>
  <c r="T358" i="5" s="1"/>
  <c r="S359" i="5"/>
  <c r="T359" i="5" s="1" a="1"/>
  <c r="T359" i="5" s="1"/>
  <c r="S360" i="5"/>
  <c r="T360" i="5" s="1" a="1"/>
  <c r="T360" i="5" s="1"/>
  <c r="S361" i="5"/>
  <c r="T361" i="5" s="1" a="1"/>
  <c r="T361" i="5" s="1"/>
  <c r="S362" i="5"/>
  <c r="T362" i="5" s="1" a="1"/>
  <c r="T362" i="5" s="1"/>
  <c r="S363" i="5"/>
  <c r="T363" i="5" s="1" a="1"/>
  <c r="T363" i="5" s="1"/>
  <c r="S364" i="5"/>
  <c r="T364" i="5" s="1" a="1"/>
  <c r="T364" i="5" s="1"/>
  <c r="S365" i="5"/>
  <c r="T365" i="5" s="1" a="1"/>
  <c r="T365" i="5" s="1"/>
  <c r="S366" i="5"/>
  <c r="T366" i="5" s="1" a="1"/>
  <c r="T366" i="5" s="1"/>
  <c r="S367" i="5"/>
  <c r="T367" i="5" s="1" a="1"/>
  <c r="T367" i="5" s="1"/>
  <c r="S368" i="5"/>
  <c r="T368" i="5" s="1" a="1"/>
  <c r="T368" i="5" s="1"/>
  <c r="S369" i="5"/>
  <c r="T369" i="5" s="1" a="1"/>
  <c r="T369" i="5" s="1"/>
  <c r="S370" i="5"/>
  <c r="T370" i="5" s="1" a="1"/>
  <c r="T370" i="5" s="1"/>
  <c r="S371" i="5"/>
  <c r="T371" i="5" s="1" a="1"/>
  <c r="T371" i="5" s="1"/>
  <c r="S372" i="5"/>
  <c r="T372" i="5" s="1" a="1"/>
  <c r="T372" i="5" s="1"/>
  <c r="S373" i="5"/>
  <c r="T373" i="5" s="1" a="1"/>
  <c r="T373" i="5" s="1"/>
  <c r="S374" i="5"/>
  <c r="T374" i="5" s="1" a="1"/>
  <c r="T374" i="5" s="1"/>
  <c r="S375" i="5"/>
  <c r="T375" i="5" s="1" a="1"/>
  <c r="T375" i="5" s="1"/>
  <c r="S376" i="5"/>
  <c r="T376" i="5" s="1" a="1"/>
  <c r="T376" i="5" s="1"/>
  <c r="S377" i="5"/>
  <c r="T377" i="5" s="1" a="1"/>
  <c r="T377" i="5" s="1"/>
  <c r="S378" i="5"/>
  <c r="T378" i="5" s="1" a="1"/>
  <c r="T378" i="5" s="1"/>
  <c r="S379" i="5"/>
  <c r="T379" i="5" s="1" a="1"/>
  <c r="T379" i="5" s="1"/>
  <c r="S380" i="5"/>
  <c r="T380" i="5" s="1" a="1"/>
  <c r="T380" i="5" s="1"/>
  <c r="S381" i="5"/>
  <c r="T381" i="5" s="1" a="1"/>
  <c r="T381" i="5" s="1"/>
  <c r="S382" i="5"/>
  <c r="T382" i="5" s="1" a="1"/>
  <c r="T382" i="5" s="1"/>
  <c r="S383" i="5"/>
  <c r="T383" i="5" s="1" a="1"/>
  <c r="T383" i="5" s="1"/>
  <c r="S384" i="5"/>
  <c r="T384" i="5" s="1" a="1"/>
  <c r="T384" i="5" s="1"/>
  <c r="S385" i="5"/>
  <c r="T385" i="5" s="1" a="1"/>
  <c r="T385" i="5" s="1"/>
  <c r="S386" i="5"/>
  <c r="T386" i="5" s="1" a="1"/>
  <c r="T386" i="5" s="1"/>
  <c r="S387" i="5"/>
  <c r="T387" i="5" s="1" a="1"/>
  <c r="T387" i="5" s="1"/>
  <c r="S388" i="5"/>
  <c r="T388" i="5" s="1" a="1"/>
  <c r="T388" i="5" s="1"/>
  <c r="S389" i="5"/>
  <c r="T389" i="5" s="1" a="1"/>
  <c r="T389" i="5" s="1"/>
  <c r="S390" i="5"/>
  <c r="T390" i="5" s="1" a="1"/>
  <c r="T390" i="5" s="1"/>
  <c r="S391" i="5"/>
  <c r="T391" i="5" s="1" a="1"/>
  <c r="T391" i="5" s="1"/>
  <c r="S392" i="5"/>
  <c r="T392" i="5" s="1" a="1"/>
  <c r="T392" i="5" s="1"/>
  <c r="S393" i="5"/>
  <c r="T393" i="5" s="1" a="1"/>
  <c r="T393" i="5" s="1"/>
  <c r="S394" i="5"/>
  <c r="T394" i="5" s="1" a="1"/>
  <c r="T394" i="5" s="1"/>
  <c r="S395" i="5"/>
  <c r="T395" i="5" s="1" a="1"/>
  <c r="T395" i="5" s="1"/>
  <c r="S396" i="5"/>
  <c r="T396" i="5" s="1" a="1"/>
  <c r="T396" i="5" s="1"/>
  <c r="S397" i="5"/>
  <c r="T397" i="5" s="1" a="1"/>
  <c r="T397" i="5" s="1"/>
  <c r="S398" i="5"/>
  <c r="T398" i="5" s="1" a="1"/>
  <c r="T398" i="5" s="1"/>
  <c r="S399" i="5"/>
  <c r="T399" i="5" s="1" a="1"/>
  <c r="T399" i="5" s="1"/>
  <c r="S400" i="5"/>
  <c r="T400" i="5" s="1" a="1"/>
  <c r="T400" i="5" s="1"/>
  <c r="S401" i="5"/>
  <c r="T401" i="5" s="1" a="1"/>
  <c r="T401" i="5" s="1"/>
  <c r="S402" i="5"/>
  <c r="T402" i="5" s="1" a="1"/>
  <c r="T402" i="5" s="1"/>
  <c r="S403" i="5"/>
  <c r="T403" i="5" s="1" a="1"/>
  <c r="T403" i="5" s="1"/>
  <c r="S404" i="5"/>
  <c r="T404" i="5" s="1" a="1"/>
  <c r="T404" i="5" s="1"/>
  <c r="S405" i="5"/>
  <c r="T405" i="5" s="1" a="1"/>
  <c r="T405" i="5" s="1"/>
  <c r="S406" i="5"/>
  <c r="T406" i="5" s="1" a="1"/>
  <c r="T406" i="5" s="1"/>
  <c r="S407" i="5"/>
  <c r="T407" i="5" s="1" a="1"/>
  <c r="T407" i="5" s="1"/>
  <c r="S408" i="5"/>
  <c r="T408" i="5" s="1" a="1"/>
  <c r="T408" i="5" s="1"/>
  <c r="S409" i="5"/>
  <c r="T409" i="5" s="1" a="1"/>
  <c r="T409" i="5" s="1"/>
  <c r="S410" i="5"/>
  <c r="T410" i="5" s="1" a="1"/>
  <c r="T410" i="5" s="1"/>
  <c r="S411" i="5"/>
  <c r="T411" i="5" s="1" a="1"/>
  <c r="T411" i="5" s="1"/>
  <c r="S412" i="5"/>
  <c r="T412" i="5" s="1" a="1"/>
  <c r="T412" i="5" s="1"/>
  <c r="S413" i="5"/>
  <c r="T413" i="5" s="1" a="1"/>
  <c r="T413" i="5" s="1"/>
  <c r="S414" i="5"/>
  <c r="T414" i="5" s="1" a="1"/>
  <c r="T414" i="5" s="1"/>
  <c r="S415" i="5"/>
  <c r="T415" i="5" s="1" a="1"/>
  <c r="T415" i="5" s="1"/>
  <c r="S416" i="5"/>
  <c r="T416" i="5" s="1" a="1"/>
  <c r="T416" i="5" s="1"/>
  <c r="S417" i="5"/>
  <c r="T417" i="5" s="1" a="1"/>
  <c r="T417" i="5" s="1"/>
  <c r="S418" i="5"/>
  <c r="T418" i="5" s="1" a="1"/>
  <c r="T418" i="5" s="1"/>
  <c r="S419" i="5"/>
  <c r="T419" i="5" s="1" a="1"/>
  <c r="T419" i="5" s="1"/>
  <c r="S420" i="5"/>
  <c r="T420" i="5" s="1" a="1"/>
  <c r="S421" i="5"/>
  <c r="T421" i="5" s="1" a="1"/>
  <c r="T421" i="5" s="1"/>
  <c r="S422" i="5"/>
  <c r="T422" i="5" s="1" a="1"/>
  <c r="T422" i="5" s="1"/>
  <c r="S423" i="5"/>
  <c r="T423" i="5" s="1" a="1"/>
  <c r="T423" i="5" s="1"/>
  <c r="S424" i="5"/>
  <c r="T424" i="5" s="1" a="1"/>
  <c r="T424" i="5" s="1"/>
  <c r="S425" i="5"/>
  <c r="T425" i="5" s="1" a="1"/>
  <c r="T425" i="5" s="1"/>
  <c r="S426" i="5"/>
  <c r="T426" i="5" s="1" a="1"/>
  <c r="T426" i="5" s="1"/>
  <c r="S427" i="5"/>
  <c r="T427" i="5" s="1" a="1"/>
  <c r="T427" i="5" s="1"/>
  <c r="S428" i="5"/>
  <c r="T428" i="5" s="1" a="1"/>
  <c r="T428" i="5" s="1"/>
  <c r="S429" i="5"/>
  <c r="T429" i="5" s="1" a="1"/>
  <c r="T429" i="5" s="1"/>
  <c r="S430" i="5"/>
  <c r="T430" i="5" s="1" a="1"/>
  <c r="T430" i="5" s="1"/>
  <c r="S431" i="5"/>
  <c r="T431" i="5" s="1" a="1"/>
  <c r="T431" i="5" s="1"/>
  <c r="S432" i="5"/>
  <c r="T432" i="5" s="1" a="1"/>
  <c r="T432" i="5" s="1"/>
  <c r="S433" i="5"/>
  <c r="T433" i="5" s="1" a="1"/>
  <c r="T433" i="5" s="1"/>
  <c r="S434" i="5"/>
  <c r="T434" i="5" s="1" a="1"/>
  <c r="T434" i="5" s="1"/>
  <c r="S435" i="5"/>
  <c r="T435" i="5" s="1" a="1"/>
  <c r="T435" i="5" s="1"/>
  <c r="S436" i="5"/>
  <c r="T436" i="5" s="1" a="1"/>
  <c r="T436" i="5" s="1"/>
  <c r="S437" i="5"/>
  <c r="T437" i="5" s="1" a="1"/>
  <c r="T437" i="5" s="1"/>
  <c r="S438" i="5"/>
  <c r="T438" i="5" s="1" a="1"/>
  <c r="T438" i="5" s="1"/>
  <c r="S439" i="5"/>
  <c r="T439" i="5" s="1" a="1"/>
  <c r="T439" i="5" s="1"/>
  <c r="S440" i="5"/>
  <c r="T440" i="5" s="1" a="1"/>
  <c r="T440" i="5" s="1"/>
  <c r="S441" i="5"/>
  <c r="T441" i="5" s="1" a="1"/>
  <c r="T441" i="5" s="1"/>
  <c r="S442" i="5"/>
  <c r="T442" i="5" s="1" a="1"/>
  <c r="T442" i="5" s="1"/>
  <c r="S443" i="5"/>
  <c r="T443" i="5" s="1" a="1"/>
  <c r="T443" i="5" s="1"/>
  <c r="S444" i="5"/>
  <c r="T444" i="5" s="1" a="1"/>
  <c r="T444" i="5" s="1"/>
  <c r="S445" i="5"/>
  <c r="T445" i="5" s="1" a="1"/>
  <c r="T445" i="5" s="1"/>
  <c r="S446" i="5"/>
  <c r="T446" i="5" s="1" a="1"/>
  <c r="T446" i="5" s="1"/>
  <c r="S447" i="5"/>
  <c r="T447" i="5" s="1" a="1"/>
  <c r="T447" i="5" s="1"/>
  <c r="S448" i="5"/>
  <c r="T448" i="5" s="1" a="1"/>
  <c r="T448" i="5" s="1"/>
  <c r="S449" i="5"/>
  <c r="T449" i="5" s="1" a="1"/>
  <c r="T449" i="5" s="1"/>
  <c r="S450" i="5"/>
  <c r="T450" i="5" s="1" a="1"/>
  <c r="T450" i="5" s="1"/>
  <c r="S451" i="5"/>
  <c r="T451" i="5" s="1" a="1"/>
  <c r="T451" i="5" s="1"/>
  <c r="S452" i="5"/>
  <c r="T452" i="5" s="1" a="1"/>
  <c r="T452" i="5" s="1"/>
  <c r="S453" i="5"/>
  <c r="T453" i="5" s="1" a="1"/>
  <c r="T453" i="5" s="1"/>
  <c r="S454" i="5"/>
  <c r="T454" i="5" s="1" a="1"/>
  <c r="T454" i="5" s="1"/>
  <c r="S455" i="5"/>
  <c r="T455" i="5" s="1" a="1"/>
  <c r="T455" i="5" s="1"/>
  <c r="S456" i="5"/>
  <c r="T456" i="5" s="1" a="1"/>
  <c r="T456" i="5" s="1"/>
  <c r="S457" i="5"/>
  <c r="T457" i="5" s="1" a="1"/>
  <c r="T457" i="5" s="1"/>
  <c r="S458" i="5"/>
  <c r="T458" i="5" s="1" a="1"/>
  <c r="T458" i="5" s="1"/>
  <c r="S459" i="5"/>
  <c r="T459" i="5" s="1" a="1"/>
  <c r="T459" i="5" s="1"/>
  <c r="S460" i="5"/>
  <c r="T460" i="5" s="1" a="1"/>
  <c r="T460" i="5" s="1"/>
  <c r="S461" i="5"/>
  <c r="T461" i="5" s="1" a="1"/>
  <c r="T461" i="5" s="1"/>
  <c r="S462" i="5"/>
  <c r="T462" i="5" s="1" a="1"/>
  <c r="T462" i="5" s="1"/>
  <c r="S463" i="5"/>
  <c r="T463" i="5" s="1" a="1"/>
  <c r="T463" i="5" s="1"/>
  <c r="S464" i="5"/>
  <c r="T464" i="5" s="1" a="1"/>
  <c r="T464" i="5" s="1"/>
  <c r="S465" i="5"/>
  <c r="T465" i="5" s="1" a="1"/>
  <c r="T465" i="5" s="1"/>
  <c r="S466" i="5"/>
  <c r="T466" i="5" s="1" a="1"/>
  <c r="T466" i="5" s="1"/>
  <c r="S467" i="5"/>
  <c r="T467" i="5" s="1" a="1"/>
  <c r="T467" i="5" s="1"/>
  <c r="S468" i="5"/>
  <c r="T468" i="5" s="1" a="1"/>
  <c r="T468" i="5" s="1"/>
  <c r="S469" i="5"/>
  <c r="T469" i="5" s="1" a="1"/>
  <c r="T469" i="5" s="1"/>
  <c r="S470" i="5"/>
  <c r="T470" i="5" s="1" a="1"/>
  <c r="T470" i="5" s="1"/>
  <c r="S471" i="5"/>
  <c r="T471" i="5" s="1" a="1"/>
  <c r="T471" i="5" s="1"/>
  <c r="S472" i="5"/>
  <c r="T472" i="5" s="1" a="1"/>
  <c r="T472" i="5" s="1"/>
  <c r="S473" i="5"/>
  <c r="T473" i="5" s="1" a="1"/>
  <c r="T473" i="5" s="1"/>
  <c r="S474" i="5"/>
  <c r="T474" i="5" s="1" a="1"/>
  <c r="T474" i="5" s="1"/>
  <c r="S475" i="5"/>
  <c r="T475" i="5" s="1" a="1"/>
  <c r="T475" i="5" s="1"/>
  <c r="S476" i="5"/>
  <c r="T476" i="5" s="1" a="1"/>
  <c r="T476" i="5" s="1"/>
  <c r="S477" i="5"/>
  <c r="T477" i="5" s="1" a="1"/>
  <c r="T477" i="5" s="1"/>
  <c r="S478" i="5"/>
  <c r="T478" i="5" s="1" a="1"/>
  <c r="T478" i="5" s="1"/>
  <c r="S479" i="5"/>
  <c r="T479" i="5" s="1" a="1"/>
  <c r="T479" i="5" s="1"/>
  <c r="S480" i="5"/>
  <c r="T480" i="5" s="1" a="1"/>
  <c r="T480" i="5" s="1"/>
  <c r="S481" i="5"/>
  <c r="T481" i="5" s="1" a="1"/>
  <c r="T481" i="5" s="1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T420" i="5"/>
  <c r="T356" i="5"/>
  <c r="T340" i="5"/>
  <c r="T326" i="5"/>
  <c r="T324" i="5"/>
  <c r="T260" i="5"/>
  <c r="T244" i="5"/>
  <c r="T228" i="5"/>
  <c r="T217" i="5"/>
  <c r="T216" i="5"/>
  <c r="T215" i="5"/>
  <c r="T148" i="5"/>
  <c r="T116" i="5"/>
  <c r="T52" i="5"/>
  <c r="T36" i="5"/>
  <c r="T23" i="5"/>
  <c r="T22" i="5"/>
  <c r="T2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7CFA5A-B161-4EC9-A6DE-707A902FA689}" keepAlive="1" name="Query - angajati" description="Connection to the 'angajati' query in the workbook." type="5" refreshedVersion="8" background="1" saveData="1">
    <dbPr connection="Provider=Microsoft.Mashup.OleDb.1;Data Source=$Workbook$;Location=angajati;Extended Properties=&quot;&quot;" command="SELECT * FROM [angajati]"/>
  </connection>
  <connection id="2" xr16:uid="{E2827B3B-411D-49A5-9FEA-0CFD74E69977}" keepAlive="1" name="Query - angajati (2)" description="Connection to the 'angajati (2)' query in the workbook." type="5" refreshedVersion="8" background="1" saveData="1">
    <dbPr connection="Provider=Microsoft.Mashup.OleDb.1;Data Source=$Workbook$;Location=&quot;angajati (2)&quot;;Extended Properties=&quot;&quot;" command="SELECT * FROM [angajati (2)]"/>
  </connection>
  <connection id="3" xr16:uid="{3963644B-426B-4035-844A-ACEA6B92C5B9}" keepAlive="1" name="Query - angajati (3)" description="Connection to the 'angajati (3)' query in the workbook." type="5" refreshedVersion="8" background="1" saveData="1">
    <dbPr connection="Provider=Microsoft.Mashup.OleDb.1;Data Source=$Workbook$;Location=&quot;angajati (3)&quot;;Extended Properties=&quot;&quot;" command="SELECT * FROM [angajati (3)]"/>
  </connection>
  <connection id="4" xr16:uid="{946E3DC9-A8C1-47A1-B6DC-F7BFD52700EF}" keepAlive="1" name="Query - departamente" description="Connection to the 'departamente' query in the workbook." type="5" refreshedVersion="8" background="1" saveData="1">
    <dbPr connection="Provider=Microsoft.Mashup.OleDb.1;Data Source=$Workbook$;Location=departamente;Extended Properties=&quot;&quot;" command="SELECT * FROM [departamente]"/>
  </connection>
  <connection id="5" xr16:uid="{158650B2-A884-43B5-951B-5F12F0744AE0}" keepAlive="1" name="Query - evaluari" description="Connection to the 'evaluari' query in the workbook." type="5" refreshedVersion="8" background="1" saveData="1">
    <dbPr connection="Provider=Microsoft.Mashup.OleDb.1;Data Source=$Workbook$;Location=evaluari;Extended Properties=&quot;&quot;" command="SELECT * FROM [evaluar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<sst xmlns="http://schemas.openxmlformats.org/spreadsheetml/2006/main" count="9499" uniqueCount="715">
  <si>
    <t>id_angajat</t>
  </si>
  <si>
    <t>nume</t>
  </si>
  <si>
    <t>prenume</t>
  </si>
  <si>
    <t>gen</t>
  </si>
  <si>
    <t>data_nasterii</t>
  </si>
  <si>
    <t>data_angajarii</t>
  </si>
  <si>
    <t>id_departament</t>
  </si>
  <si>
    <t>functie</t>
  </si>
  <si>
    <t>nivel</t>
  </si>
  <si>
    <t>oras</t>
  </si>
  <si>
    <t>tip_contract</t>
  </si>
  <si>
    <t>salariu_brut_lunar</t>
  </si>
  <si>
    <t>status</t>
  </si>
  <si>
    <t>data_plecarii</t>
  </si>
  <si>
    <t>motiv_plecare</t>
  </si>
  <si>
    <t>email</t>
  </si>
  <si>
    <t>VOICU</t>
  </si>
  <si>
    <t>Bianca</t>
  </si>
  <si>
    <t>F</t>
  </si>
  <si>
    <t>Manager Suport Clienți</t>
  </si>
  <si>
    <t>Manager</t>
  </si>
  <si>
    <t>București</t>
  </si>
  <si>
    <t>Full-time</t>
  </si>
  <si>
    <t>Plecat</t>
  </si>
  <si>
    <t>Relația cu managerul</t>
  </si>
  <si>
    <t>bianca.voicu081@technova.ro</t>
  </si>
  <si>
    <t>Nistor</t>
  </si>
  <si>
    <t>Cristian</t>
  </si>
  <si>
    <t>Masculin</t>
  </si>
  <si>
    <t>Operator Call Center</t>
  </si>
  <si>
    <t>Mid</t>
  </si>
  <si>
    <t>Timișoara</t>
  </si>
  <si>
    <t>Activ</t>
  </si>
  <si>
    <t/>
  </si>
  <si>
    <t>cristian.nistor074@technova.ro</t>
  </si>
  <si>
    <t>Voicu</t>
  </si>
  <si>
    <t>Radu</t>
  </si>
  <si>
    <t>M</t>
  </si>
  <si>
    <t>Coordonator Logistică</t>
  </si>
  <si>
    <t>Senior</t>
  </si>
  <si>
    <t>Part-time</t>
  </si>
  <si>
    <t>radu.voicu135@technova.ro</t>
  </si>
  <si>
    <t>Popescu</t>
  </si>
  <si>
    <t>Florin</t>
  </si>
  <si>
    <t>Tester QA</t>
  </si>
  <si>
    <t>Junior</t>
  </si>
  <si>
    <t>Cluj-Napoca</t>
  </si>
  <si>
    <t>florin.popescu473@technova.ro</t>
  </si>
  <si>
    <t>Constantin</t>
  </si>
  <si>
    <t>Analist IT</t>
  </si>
  <si>
    <t>florin.constantin145@technova.ro</t>
  </si>
  <si>
    <t xml:space="preserve"> Simona  </t>
  </si>
  <si>
    <t>Iași</t>
  </si>
  <si>
    <t>simona.constantin038@technova.ro</t>
  </si>
  <si>
    <t>Barbu</t>
  </si>
  <si>
    <t xml:space="preserve">M </t>
  </si>
  <si>
    <t>Content Creator</t>
  </si>
  <si>
    <t>cristian.barbu167@technova.ro</t>
  </si>
  <si>
    <t>Sandu</t>
  </si>
  <si>
    <t>Andreea</t>
  </si>
  <si>
    <t>Manager Vânzări</t>
  </si>
  <si>
    <t>bucuresti</t>
  </si>
  <si>
    <t>Relocare</t>
  </si>
  <si>
    <t>andreea.sandu106@technova.ro</t>
  </si>
  <si>
    <t>Matei</t>
  </si>
  <si>
    <t>Ana</t>
  </si>
  <si>
    <t>ana.matei082@technova.ro</t>
  </si>
  <si>
    <t>Preda</t>
  </si>
  <si>
    <t>Agent Vânzări</t>
  </si>
  <si>
    <t>ana.preda282@technova.ro</t>
  </si>
  <si>
    <t>Florea</t>
  </si>
  <si>
    <t>Contabil</t>
  </si>
  <si>
    <t>florin.florea189@technova.ro</t>
  </si>
  <si>
    <t>Marin</t>
  </si>
  <si>
    <t>Simona</t>
  </si>
  <si>
    <t>Manager Operațiuni</t>
  </si>
  <si>
    <t>simona.marin225@technova.ro</t>
  </si>
  <si>
    <t>CONSTANTIN</t>
  </si>
  <si>
    <t>Specialist Suport</t>
  </si>
  <si>
    <t>ana.constantin133@technova.ro</t>
  </si>
  <si>
    <t>Ionescu</t>
  </si>
  <si>
    <t>Mihai</t>
  </si>
  <si>
    <t>mihai.ionescu267@technova.ro</t>
  </si>
  <si>
    <t xml:space="preserve">București </t>
  </si>
  <si>
    <t>bianca.voicu137@technova.ro</t>
  </si>
  <si>
    <t>Stoica</t>
  </si>
  <si>
    <t>radu.stoica365@technova.ro</t>
  </si>
  <si>
    <t>Programator</t>
  </si>
  <si>
    <t>bianca.constantin475@technova.ro</t>
  </si>
  <si>
    <t>Oprea</t>
  </si>
  <si>
    <t>Diana</t>
  </si>
  <si>
    <t>diana.oprea028@technova.ro</t>
  </si>
  <si>
    <t>Dobre</t>
  </si>
  <si>
    <t>simona.dobre274@technova.ro</t>
  </si>
  <si>
    <t>Stan</t>
  </si>
  <si>
    <t xml:space="preserve"> Robert  </t>
  </si>
  <si>
    <t>m</t>
  </si>
  <si>
    <t>robert.stan333@technova.ro</t>
  </si>
  <si>
    <t>Daniel</t>
  </si>
  <si>
    <t>daniel.marin345@technova.ro</t>
  </si>
  <si>
    <t>Munteanu</t>
  </si>
  <si>
    <t>Specialist HR</t>
  </si>
  <si>
    <t>bianca.munteanu191@technova.ro</t>
  </si>
  <si>
    <t>Robert</t>
  </si>
  <si>
    <t>Key Account Manager</t>
  </si>
  <si>
    <t>Salariu mai bun în altă parte</t>
  </si>
  <si>
    <t>robert.stan322@technova.ro</t>
  </si>
  <si>
    <t>Ionuț</t>
  </si>
  <si>
    <t>DevOps Engineer</t>
  </si>
  <si>
    <t>ionut.popescu403@technova.ro</t>
  </si>
  <si>
    <t>Bogdan</t>
  </si>
  <si>
    <t>bogdan.ionescu058@technova.ro</t>
  </si>
  <si>
    <t>Dinu</t>
  </si>
  <si>
    <t>Marius</t>
  </si>
  <si>
    <t>marius.dinu300@technova.ro</t>
  </si>
  <si>
    <t>Toma</t>
  </si>
  <si>
    <t>Specialist Operațiuni</t>
  </si>
  <si>
    <t>Lipsa oportunităților de promovare</t>
  </si>
  <si>
    <t>robert.toma125@technova.ro</t>
  </si>
  <si>
    <t>Denisa</t>
  </si>
  <si>
    <t>Recruiter</t>
  </si>
  <si>
    <t>denisa.florea318@technova.ro</t>
  </si>
  <si>
    <t>Gheorghe</t>
  </si>
  <si>
    <t>Analist Financiar</t>
  </si>
  <si>
    <t>diana.gheorghe104@technova.ro</t>
  </si>
  <si>
    <t>Lungu</t>
  </si>
  <si>
    <t>Vlad</t>
  </si>
  <si>
    <t>vlad.lungu156@technova.ro</t>
  </si>
  <si>
    <t>Alexandra</t>
  </si>
  <si>
    <t>alexandra.gheorghe261@technova.ro</t>
  </si>
  <si>
    <t>florin.popescu379@technova.ro</t>
  </si>
  <si>
    <t>Roxana</t>
  </si>
  <si>
    <t xml:space="preserve">timișoara </t>
  </si>
  <si>
    <t>roxana.nistor160@technova.ro</t>
  </si>
  <si>
    <t>Popa</t>
  </si>
  <si>
    <t>cristian.popa226@technova.ro</t>
  </si>
  <si>
    <t>Neagu</t>
  </si>
  <si>
    <t>marius.neagu464@technova.ro</t>
  </si>
  <si>
    <t>DINU</t>
  </si>
  <si>
    <t>vlad.dinu389@technova.ro</t>
  </si>
  <si>
    <t>Sorin</t>
  </si>
  <si>
    <t>sorin.nistor339@technova.ro</t>
  </si>
  <si>
    <t>Manager Financiar</t>
  </si>
  <si>
    <t>mihai.constantin229@technova.ro</t>
  </si>
  <si>
    <t>Alexandru</t>
  </si>
  <si>
    <t>alexandru.oprea088@technova.ro</t>
  </si>
  <si>
    <t>ana.dinu117@technova.ro</t>
  </si>
  <si>
    <t>Tudor</t>
  </si>
  <si>
    <t>Feminin</t>
  </si>
  <si>
    <t>ana.tudor463@technova.ro</t>
  </si>
  <si>
    <t>Dumitru</t>
  </si>
  <si>
    <t xml:space="preserve"> Ionuț  </t>
  </si>
  <si>
    <t>Pensionare</t>
  </si>
  <si>
    <t>ionut.dumitru408@technova.ro</t>
  </si>
  <si>
    <t>roxana.dinu394@technova.ro</t>
  </si>
  <si>
    <t>Andrei</t>
  </si>
  <si>
    <t>andrei.barbu154@technova.ro</t>
  </si>
  <si>
    <t>Ciobanu</t>
  </si>
  <si>
    <t xml:space="preserve"> Bogdan  </t>
  </si>
  <si>
    <t>Consilier Juridic</t>
  </si>
  <si>
    <t>bogdan.ciobanu138@technova.ro</t>
  </si>
  <si>
    <t>IONESCU</t>
  </si>
  <si>
    <t>denisa.ionescu128@technova.ro</t>
  </si>
  <si>
    <t>Oana</t>
  </si>
  <si>
    <t>Cozma</t>
  </si>
  <si>
    <t>Bucuresti</t>
  </si>
  <si>
    <t>alexandru.cozma127@technova.ro</t>
  </si>
  <si>
    <t>radu.lungu162@technova.ro</t>
  </si>
  <si>
    <t>ionut.popescu215@technova.ro</t>
  </si>
  <si>
    <t>cluj-napoca</t>
  </si>
  <si>
    <t>denisa.tudor230@technova.ro</t>
  </si>
  <si>
    <t>Ioana</t>
  </si>
  <si>
    <t>ioana.dobre352@technova.ro</t>
  </si>
  <si>
    <t>ioana.ciobanu335@technova.ro</t>
  </si>
  <si>
    <t xml:space="preserve"> F</t>
  </si>
  <si>
    <t>simona.popa017@technova.ro</t>
  </si>
  <si>
    <t>florin.voicu015@technova.ro</t>
  </si>
  <si>
    <t>ana.stan041@technova.ro</t>
  </si>
  <si>
    <t>Cristina</t>
  </si>
  <si>
    <t>cristina.florea113@technova.ro</t>
  </si>
  <si>
    <t>Surdu</t>
  </si>
  <si>
    <t>roxana.surdu052@technova.ro</t>
  </si>
  <si>
    <t>daniel.munteanu211@technova.ro</t>
  </si>
  <si>
    <t>ioana.stan447@technova.ro</t>
  </si>
  <si>
    <t>Cătălin</t>
  </si>
  <si>
    <t>catalin.ciobanu044@technova.ro</t>
  </si>
  <si>
    <t>Echilibru viață-muncă</t>
  </si>
  <si>
    <t>cristian.tudor291@technova.ro</t>
  </si>
  <si>
    <t>Rusu</t>
  </si>
  <si>
    <t>ionut.rusu287@technova.ro</t>
  </si>
  <si>
    <t>ionut.oprea329@technova.ro</t>
  </si>
  <si>
    <t>BUCUREȘTI</t>
  </si>
  <si>
    <t>radu.dobre244@technova.ro</t>
  </si>
  <si>
    <t>cristian.popa194@technova.ro</t>
  </si>
  <si>
    <t>Ion</t>
  </si>
  <si>
    <t>ion.matei067@technova.ro</t>
  </si>
  <si>
    <t>radu.surdu205@technova.ro</t>
  </si>
  <si>
    <t>roxana.dobre270@technova.ro</t>
  </si>
  <si>
    <t>Elena</t>
  </si>
  <si>
    <t>elena.dinu440@technova.ro</t>
  </si>
  <si>
    <t>Irina</t>
  </si>
  <si>
    <t>irina.oprea306@technova.ro</t>
  </si>
  <si>
    <t>irina.nistor016@technova.ro</t>
  </si>
  <si>
    <t>ionut.matei140@technova.ro</t>
  </si>
  <si>
    <t>Ene</t>
  </si>
  <si>
    <t>bogdan.ene102@technova.ro</t>
  </si>
  <si>
    <t>Raluca</t>
  </si>
  <si>
    <t>raluca.cozma131@technova.ro</t>
  </si>
  <si>
    <t>oana.dumitru359@technova.ro</t>
  </si>
  <si>
    <t>Specialist Marketing</t>
  </si>
  <si>
    <t>ioana.munteanu068@technova.ro</t>
  </si>
  <si>
    <t>simona.munteanu204@technova.ro</t>
  </si>
  <si>
    <t>oana.munteanu454@technova.ro</t>
  </si>
  <si>
    <t>Gabriela</t>
  </si>
  <si>
    <t>junior</t>
  </si>
  <si>
    <t>gabriela.florea180@technova.ro</t>
  </si>
  <si>
    <t>Mihaela</t>
  </si>
  <si>
    <t>mihaela.sandu302@technova.ro</t>
  </si>
  <si>
    <t>POPESCU</t>
  </si>
  <si>
    <t>mid</t>
  </si>
  <si>
    <t>alexandru.popescu108@technova.ro</t>
  </si>
  <si>
    <t>f</t>
  </si>
  <si>
    <t>ioana.tudor103@technova.ro</t>
  </si>
  <si>
    <t>ana.cozma147@technova.ro</t>
  </si>
  <si>
    <t>Adrian</t>
  </si>
  <si>
    <t>adrian.toma297@technova.ro</t>
  </si>
  <si>
    <t>radu.popa100@technova.ro</t>
  </si>
  <si>
    <t>ioana.cozma445@technova.ro</t>
  </si>
  <si>
    <t>PREDA</t>
  </si>
  <si>
    <t>ion.preda178@technova.ro</t>
  </si>
  <si>
    <t>marius.dinu256@technova.ro</t>
  </si>
  <si>
    <t>robert.popa285@technova.ro</t>
  </si>
  <si>
    <t>adrian.matei190@technova.ro</t>
  </si>
  <si>
    <t xml:space="preserve"> George  </t>
  </si>
  <si>
    <t>george.ene377@technova.ro</t>
  </si>
  <si>
    <t>robert.ionescu314@technova.ro</t>
  </si>
  <si>
    <t>roxana.voicu385@technova.ro</t>
  </si>
  <si>
    <t>ionut.barbu305@technova.ro</t>
  </si>
  <si>
    <t>andreea.tudor084@technova.ro</t>
  </si>
  <si>
    <t>andreea.preda396@technova.ro</t>
  </si>
  <si>
    <t>mihaela.dinu358@technova.ro</t>
  </si>
  <si>
    <t>denisa.stoica062@technova.ro</t>
  </si>
  <si>
    <t>senior</t>
  </si>
  <si>
    <t>irina.oprea341@technova.ro</t>
  </si>
  <si>
    <t>mihaela.neagu417@technova.ro</t>
  </si>
  <si>
    <t>andreea.sandu467@technova.ro</t>
  </si>
  <si>
    <t>alexandru.preda060@technova.ro</t>
  </si>
  <si>
    <t>Larisa</t>
  </si>
  <si>
    <t>larisa.florea186@technova.ro</t>
  </si>
  <si>
    <t>vlad.ciobanu011@technova.ro</t>
  </si>
  <si>
    <t>ion.oprea056@technova.ro</t>
  </si>
  <si>
    <t>vlad.lungu446@technova.ro</t>
  </si>
  <si>
    <t>elena.rusu362@technova.ro</t>
  </si>
  <si>
    <t xml:space="preserve"> Raluca  </t>
  </si>
  <si>
    <t>raluca.cozma057@technova.ro</t>
  </si>
  <si>
    <t>simona.popa477@technova.ro</t>
  </si>
  <si>
    <t>ana.neagu348@technova.ro</t>
  </si>
  <si>
    <t>Manager Marketing</t>
  </si>
  <si>
    <t>simona.dobre198@technova.ro</t>
  </si>
  <si>
    <t>mihaela.stoica089@technova.ro</t>
  </si>
  <si>
    <t>florin.dinu262@technova.ro</t>
  </si>
  <si>
    <t>ioana.lungu025@technova.ro</t>
  </si>
  <si>
    <t>mihaela.constantin112@technova.ro</t>
  </si>
  <si>
    <t>denisa.rusu115@technova.ro</t>
  </si>
  <si>
    <t>Iasi</t>
  </si>
  <si>
    <t>oana.munteanu195@technova.ro</t>
  </si>
  <si>
    <t>Stefan</t>
  </si>
  <si>
    <t>stefan.voicu391@technova.ro</t>
  </si>
  <si>
    <t>marius.surdu331@technova.ro</t>
  </si>
  <si>
    <t>ana.florea395@technova.ro</t>
  </si>
  <si>
    <t>alexandru.gheorghe032@technova.ro</t>
  </si>
  <si>
    <t>cristian.oprea334@technova.ro</t>
  </si>
  <si>
    <t>stefan.stan192@technova.ro</t>
  </si>
  <si>
    <t>Maria</t>
  </si>
  <si>
    <t>maria.stoica434@technova.ro</t>
  </si>
  <si>
    <t>Manager IT</t>
  </si>
  <si>
    <t>roxana.matei171@technova.ro</t>
  </si>
  <si>
    <t>robert.matei181@technova.ro</t>
  </si>
  <si>
    <t>oana.voicu165@technova.ro</t>
  </si>
  <si>
    <t>roxana.neagu228@technova.ro</t>
  </si>
  <si>
    <t xml:space="preserve"> Larisa  </t>
  </si>
  <si>
    <t>larisa.marin176@technova.ro</t>
  </si>
  <si>
    <t xml:space="preserve"> Ion  </t>
  </si>
  <si>
    <t>ion.surdu263@technova.ro</t>
  </si>
  <si>
    <t>IASI</t>
  </si>
  <si>
    <t>larisa.nistor249@technova.ro</t>
  </si>
  <si>
    <t>raluca.barbu438@technova.ro</t>
  </si>
  <si>
    <t>larisa.dumitru269@technova.ro</t>
  </si>
  <si>
    <t>robert.stan129@technova.ro</t>
  </si>
  <si>
    <t>larisa.popa458@technova.ro</t>
  </si>
  <si>
    <t>florin.stoica124@technova.ro</t>
  </si>
  <si>
    <t>irina.dumitru328@technova.ro</t>
  </si>
  <si>
    <t>irina.popa289@technova.ro</t>
  </si>
  <si>
    <t>oana.constantin234@technova.ro</t>
  </si>
  <si>
    <t>elena.barbu099@technova.ro</t>
  </si>
  <si>
    <t>ioana.ciobanu240@technova.ro</t>
  </si>
  <si>
    <t>Timisoara</t>
  </si>
  <si>
    <t>bogdan.rusu288@technova.ro</t>
  </si>
  <si>
    <t>gabriela.rusu158@technova.ro</t>
  </si>
  <si>
    <t>bogdan.surdu187@technova.ro</t>
  </si>
  <si>
    <t>radu.ionescu210@technova.ro</t>
  </si>
  <si>
    <t>plecat</t>
  </si>
  <si>
    <t>larisa.ionescu346@technova.ro</t>
  </si>
  <si>
    <t>robert.matei292@technova.ro</t>
  </si>
  <si>
    <t>elena.preda304@technova.ro</t>
  </si>
  <si>
    <t>ana.barbu349@technova.ro</t>
  </si>
  <si>
    <t>denisa.cozma419@technova.ro</t>
  </si>
  <si>
    <t>larisa.toma444@technova.ro</t>
  </si>
  <si>
    <t>ana.popa109@technova.ro</t>
  </si>
  <si>
    <t>alexandru.sandu422@technova.ro</t>
  </si>
  <si>
    <t>raluca.voicu245@technova.ro</t>
  </si>
  <si>
    <t>mihai.ciobanu272@technova.ro</t>
  </si>
  <si>
    <t>raluca.dinu387@technova.ro</t>
  </si>
  <si>
    <t>alexandra.nistor083@technova.ro</t>
  </si>
  <si>
    <t>denisa.preda054@technova.ro</t>
  </si>
  <si>
    <t>simona.munteanu242@technova.ro</t>
  </si>
  <si>
    <t>florin.florea085@technova.ro</t>
  </si>
  <si>
    <t>alexandra.surdu426@technova.ro</t>
  </si>
  <si>
    <t>bianca.stoica480@technova.ro</t>
  </si>
  <si>
    <t>simona.neagu397@technova.ro</t>
  </si>
  <si>
    <t>mihai.marin420@technova.ro</t>
  </si>
  <si>
    <t>larisa.matei202@technova.ro</t>
  </si>
  <si>
    <t>larisa.matei075@technova.ro</t>
  </si>
  <si>
    <t>oana.florea453@technova.ro</t>
  </si>
  <si>
    <t>ana.sandu402@technova.ro</t>
  </si>
  <si>
    <t>ion.surdu273@technova.ro</t>
  </si>
  <si>
    <t>diana.sandu383@technova.ro</t>
  </si>
  <si>
    <t>Cluj</t>
  </si>
  <si>
    <t>alexandra.sandu024@technova.ro</t>
  </si>
  <si>
    <t>robert.stan410@technova.ro</t>
  </si>
  <si>
    <t>George</t>
  </si>
  <si>
    <t>george.tudor155@technova.ro</t>
  </si>
  <si>
    <t>raluca.munteanu340@technova.ro</t>
  </si>
  <si>
    <t>sorin.neagu374@technova.ro</t>
  </si>
  <si>
    <t>robert.preda237@technova.ro</t>
  </si>
  <si>
    <t>catalin.oprea051@technova.ro</t>
  </si>
  <si>
    <t>bogdan.stan039@technova.ro</t>
  </si>
  <si>
    <t>irina.oprea279@technova.ro</t>
  </si>
  <si>
    <t>andrei.popa478@technova.ro</t>
  </si>
  <si>
    <t>LUNGU</t>
  </si>
  <si>
    <t>gabriela.lungu006@technova.ro</t>
  </si>
  <si>
    <t>oana.gheorghe076@technova.ro</t>
  </si>
  <si>
    <t>cristian.marin143@technova.ro</t>
  </si>
  <si>
    <t>oana.stoica048@technova.ro</t>
  </si>
  <si>
    <t>vlad.dumitru047@technova.ro</t>
  </si>
  <si>
    <t>bogdan.popa071@technova.ro</t>
  </si>
  <si>
    <t>ion.ionescu080@technova.ro</t>
  </si>
  <si>
    <t>vlad.marin031@technova.ro</t>
  </si>
  <si>
    <t>cristian.preda012@technova.ro</t>
  </si>
  <si>
    <t>andrei.dinu350@technova.ro</t>
  </si>
  <si>
    <t>raluca.neagu469@technova.ro</t>
  </si>
  <si>
    <t>sorin.munteanu271@technova.ro</t>
  </si>
  <si>
    <t>stefan.ciobanu116@technova.ro</t>
  </si>
  <si>
    <t>robert.dinu026@technova.ro</t>
  </si>
  <si>
    <t>oana.ionescu196@technova.ro</t>
  </si>
  <si>
    <t>gabriela.barbu392@technova.ro</t>
  </si>
  <si>
    <t>sorin.cozma066@technova.ro</t>
  </si>
  <si>
    <t>mihaela.oprea290@technova.ro</t>
  </si>
  <si>
    <t>ion.sandu046@technova.ro</t>
  </si>
  <si>
    <t>irina.constantin400@technova.ro</t>
  </si>
  <si>
    <t>radu.ciobanu393@technova.ro</t>
  </si>
  <si>
    <t>alexandru.rusu252@technova.ro</t>
  </si>
  <si>
    <t>florin.toma474@technova.ro</t>
  </si>
  <si>
    <t>denisa.matei069@technova.ro</t>
  </si>
  <si>
    <t>mihaela.dobre367@technova.ro</t>
  </si>
  <si>
    <t>TUDOR</t>
  </si>
  <si>
    <t>raluca.tudor078@technova.ro</t>
  </si>
  <si>
    <t>roxana.lungu295@technova.ro</t>
  </si>
  <si>
    <t>FLOREA</t>
  </si>
  <si>
    <t>ionut.florea437@technova.ro</t>
  </si>
  <si>
    <t xml:space="preserve"> Adrian  </t>
  </si>
  <si>
    <t>adrian.neagu280@technova.ro</t>
  </si>
  <si>
    <t>ioana.popa059@technova.ro</t>
  </si>
  <si>
    <t>denisa.popescu126@technova.ro</t>
  </si>
  <si>
    <t>daniel.marin043@technova.ro</t>
  </si>
  <si>
    <t>alexandru.gheorghe005@technova.ro</t>
  </si>
  <si>
    <t>diana.ionescu122@technova.ro</t>
  </si>
  <si>
    <t>roxana.barbu169@technova.ro</t>
  </si>
  <si>
    <t>irina.constantin141@technova.ro</t>
  </si>
  <si>
    <t>ioana.barbu231@technova.ro</t>
  </si>
  <si>
    <t>andreea.nistor430@technova.ro</t>
  </si>
  <si>
    <t>elena.gheorghe321@technova.ro</t>
  </si>
  <si>
    <t xml:space="preserve"> Cătălin  </t>
  </si>
  <si>
    <t>catalin.ciobanu110@technova.ro</t>
  </si>
  <si>
    <t>bianca.gheorghe119@technova.ro</t>
  </si>
  <si>
    <t>andreea.lungu206@technova.ro</t>
  </si>
  <si>
    <t>diana.ene303@technova.ro</t>
  </si>
  <si>
    <t>radu.ene307@technova.ro</t>
  </si>
  <si>
    <t>robert.gheorghe007@technova.ro</t>
  </si>
  <si>
    <t>robert.marin355@technova.ro</t>
  </si>
  <si>
    <t>raluca.dobre255@technova.ro</t>
  </si>
  <si>
    <t>diana.ionescu415@technova.ro</t>
  </si>
  <si>
    <t>sorin.tudor238@technova.ro</t>
  </si>
  <si>
    <t>sorin.constantin411@technova.ro</t>
  </si>
  <si>
    <t>ioana.matei248@technova.ro</t>
  </si>
  <si>
    <t>cristina.gheorghe390@technova.ro</t>
  </si>
  <si>
    <t>Moldovan</t>
  </si>
  <si>
    <t>sorin.moldovan022@technova.ro</t>
  </si>
  <si>
    <t>cristina.dumitru431@technova.ro</t>
  </si>
  <si>
    <t>oana.ionescu004@technova.ro</t>
  </si>
  <si>
    <t>bianca.dumitru260@technova.ro</t>
  </si>
  <si>
    <t>irina.munteanu212@technova.ro</t>
  </si>
  <si>
    <t>vlad.preda123@technova.ro</t>
  </si>
  <si>
    <t>irina.neagu079@technova.ro</t>
  </si>
  <si>
    <t>alexandru.oprea388@technova.ro</t>
  </si>
  <si>
    <t>mihaela.neagu468@technova.ro</t>
  </si>
  <si>
    <t>stefan.matei219@technova.ro</t>
  </si>
  <si>
    <t>STAN</t>
  </si>
  <si>
    <t>denisa.stan266@technova.ro</t>
  </si>
  <si>
    <t>roxana.marin065@technova.ro</t>
  </si>
  <si>
    <t>ioana.ionescu019@technova.ro</t>
  </si>
  <si>
    <t>daniel.matei343@technova.ro</t>
  </si>
  <si>
    <t xml:space="preserve"> Daniel  </t>
  </si>
  <si>
    <t>daniel.cozma152@technova.ro</t>
  </si>
  <si>
    <t>roxana.ene281@technova.ro</t>
  </si>
  <si>
    <t>adrian.rusu164@technova.ro</t>
  </si>
  <si>
    <t>gabriela.toma330@technova.ro</t>
  </si>
  <si>
    <t>ionut.moldovan320@technova.ro</t>
  </si>
  <si>
    <t>diana.neagu144@technova.ro</t>
  </si>
  <si>
    <t>mihai.ionescu407@technova.ro</t>
  </si>
  <si>
    <t>marius.moldovan413@technova.ro</t>
  </si>
  <si>
    <t>daniel.neagu200@technova.ro</t>
  </si>
  <si>
    <t>marius.lungu042@technova.ro</t>
  </si>
  <si>
    <t>alexandra.ciobanu283@technova.ro</t>
  </si>
  <si>
    <t>SURDU</t>
  </si>
  <si>
    <t>bogdan.surdu327@technova.ro</t>
  </si>
  <si>
    <t>andrei.neagu232@technova.ro</t>
  </si>
  <si>
    <t>bianca.ciobanu246@technova.ro</t>
  </si>
  <si>
    <t>robert.stoica371@technova.ro</t>
  </si>
  <si>
    <t>robert.tudor326@technova.ro</t>
  </si>
  <si>
    <t>simona.tudor443@technova.ro</t>
  </si>
  <si>
    <t>adrian.matei264@technova.ro</t>
  </si>
  <si>
    <t>bogdan.surdu030@technova.ro</t>
  </si>
  <si>
    <t>vlad.neagu239@technova.ro</t>
  </si>
  <si>
    <t>sorin.voicu251@technova.ro</t>
  </si>
  <si>
    <t>roxana.marin163@technova.ro</t>
  </si>
  <si>
    <t>george.dinu150@technova.ro</t>
  </si>
  <si>
    <t>irina.constantin372@technova.ro</t>
  </si>
  <si>
    <t>mihaela.florea368@technova.ro</t>
  </si>
  <si>
    <t>andreea.gheorghe095@technova.ro</t>
  </si>
  <si>
    <t>STOICA</t>
  </si>
  <si>
    <t>raluca.stoica222@technova.ro</t>
  </si>
  <si>
    <t>ioana.florea086@technova.ro</t>
  </si>
  <si>
    <t>catalin.dobre188@technova.ro</t>
  </si>
  <si>
    <t>larisa.dobre090@technova.ro</t>
  </si>
  <si>
    <t>ioana.munteanu315@technova.ro</t>
  </si>
  <si>
    <t>andreea.ciobanu035@technova.ro</t>
  </si>
  <si>
    <t>bogdan.gheorghe218@technova.ro</t>
  </si>
  <si>
    <t>florin.sandu073@technova.ro</t>
  </si>
  <si>
    <t>alexandra.florea221@technova.ro</t>
  </si>
  <si>
    <t>irina.popa299@technova.ro</t>
  </si>
  <si>
    <t>irina.barbu450@technova.ro</t>
  </si>
  <si>
    <t>alexandru.popa459@technova.ro</t>
  </si>
  <si>
    <t>ion.popa013@technova.ro</t>
  </si>
  <si>
    <t>andrei.constantin199@technova.ro</t>
  </si>
  <si>
    <t>diana.surdu214@technova.ro</t>
  </si>
  <si>
    <t>stefan.popescu432@technova.ro</t>
  </si>
  <si>
    <t>stefan.tudor235@technova.ro</t>
  </si>
  <si>
    <t>stefan.cozma412@technova.ro</t>
  </si>
  <si>
    <t>ioana.surdu425@technova.ro</t>
  </si>
  <si>
    <t>maria.ionescu442@technova.ro</t>
  </si>
  <si>
    <t>vlad.ionescu097@technova.ro</t>
  </si>
  <si>
    <t>ion.neagu311@technova.ro</t>
  </si>
  <si>
    <t>florin.barbu298@technova.ro</t>
  </si>
  <si>
    <t>alexandra.oprea064@technova.ro</t>
  </si>
  <si>
    <t>cristina.rusu223@technova.ro</t>
  </si>
  <si>
    <t>ion.constantin014@technova.ro</t>
  </si>
  <si>
    <t>raluca.ene018@technova.ro</t>
  </si>
  <si>
    <t>larisa.neagu356@technova.ro</t>
  </si>
  <si>
    <t>denisa.popescu247@technova.ro</t>
  </si>
  <si>
    <t>bogdan.moldovan382@technova.ro</t>
  </si>
  <si>
    <t>alexandru.moldovan208@technova.ro</t>
  </si>
  <si>
    <t>daniel.cozma091@technova.ro</t>
  </si>
  <si>
    <t>oana.moldovan308@technova.ro</t>
  </si>
  <si>
    <t>ana.popescu324@technova.ro</t>
  </si>
  <si>
    <t>ioana.neagu354@technova.ro</t>
  </si>
  <si>
    <t>ioana.preda040@technova.ro</t>
  </si>
  <si>
    <t>elena.moldovan087@technova.ro</t>
  </si>
  <si>
    <t>sorin.stan182@technova.ro</t>
  </si>
  <si>
    <t>daniel.lungu449@technova.ro</t>
  </si>
  <si>
    <t>denisa.munteanu146@technova.ro</t>
  </si>
  <si>
    <t>oana.munteanu159@technova.ro</t>
  </si>
  <si>
    <t xml:space="preserve"> Denisa  </t>
  </si>
  <si>
    <t>denisa.preda472@technova.ro</t>
  </si>
  <si>
    <t>sorin.stoica360@technova.ro</t>
  </si>
  <si>
    <t>ion.dinu460@technova.ro</t>
  </si>
  <si>
    <t>mihai.munteanu344@technova.ro</t>
  </si>
  <si>
    <t>denisa.dinu201@technova.ro</t>
  </si>
  <si>
    <t>florin.surdu293@technova.ro</t>
  </si>
  <si>
    <t>vlad.popa072@technova.ro</t>
  </si>
  <si>
    <t>mihaela.cozma409@technova.ro</t>
  </si>
  <si>
    <t>ioana.matei357@technova.ro</t>
  </si>
  <si>
    <t>Manager Resurse Umane</t>
  </si>
  <si>
    <t>mihai.ene386@technova.ro</t>
  </si>
  <si>
    <t>ana.preda470@technova.ro</t>
  </si>
  <si>
    <t>vlad.tudor456@technova.ro</t>
  </si>
  <si>
    <t>cristian.dumitru421@technova.ro</t>
  </si>
  <si>
    <t>stefan.oprea134@technova.ro</t>
  </si>
  <si>
    <t>stefan.sandu061@technova.ro</t>
  </si>
  <si>
    <t>sorin.cozma370@technova.ro</t>
  </si>
  <si>
    <t>mihaela.voicu471@technova.ro</t>
  </si>
  <si>
    <t>bogdan.marin101@technova.ro</t>
  </si>
  <si>
    <t>adrian.popa020@technova.ro</t>
  </si>
  <si>
    <t>roxana.popescu378@technova.ro</t>
  </si>
  <si>
    <t>simona.tudor455@technova.ro</t>
  </si>
  <si>
    <t>ana.nistor277@technova.ro</t>
  </si>
  <si>
    <t>andrei.preda009@technova.ro</t>
  </si>
  <si>
    <t>oana.munteanu310@technova.ro</t>
  </si>
  <si>
    <t>cristina.matei284@technova.ro</t>
  </si>
  <si>
    <t>adrian.lungu465@technova.ro</t>
  </si>
  <si>
    <t>simona.ciobanu093@technova.ro</t>
  </si>
  <si>
    <t>daniel.toma253@technova.ro</t>
  </si>
  <si>
    <t>cristian.moldovan033@technova.ro</t>
  </si>
  <si>
    <t>oana.popescu136@technova.ro</t>
  </si>
  <si>
    <t>radu.constantin023@technova.ro</t>
  </si>
  <si>
    <t>catalin.neagu063@technova.ro</t>
  </si>
  <si>
    <t>cristina.neagu476@technova.ro</t>
  </si>
  <si>
    <t>raluca.matei216@technova.ro</t>
  </si>
  <si>
    <t>bogdan.moldovan404@technova.ro</t>
  </si>
  <si>
    <t>diana.rusu258@technova.ro</t>
  </si>
  <si>
    <t>andreea.constantin053@technova.ro</t>
  </si>
  <si>
    <t>irina.oprea405@technova.ro</t>
  </si>
  <si>
    <t xml:space="preserve"> Alexandru  </t>
  </si>
  <si>
    <t>alexandru.florea174@technova.ro</t>
  </si>
  <si>
    <t>mihaela.dinu036@technova.ro</t>
  </si>
  <si>
    <t>mihaela.stoica179@technova.ro</t>
  </si>
  <si>
    <t>radu.sandu168@technova.ro</t>
  </si>
  <si>
    <t>ion.toma227@technova.ro</t>
  </si>
  <si>
    <t>elena.popa121@technova.ro</t>
  </si>
  <si>
    <t>adrian.popa276@technova.ro</t>
  </si>
  <si>
    <t>robert.neagu045@technova.ro</t>
  </si>
  <si>
    <t>diana.popescu301@technova.ro</t>
  </si>
  <si>
    <t>cristina.rusu325@technova.ro</t>
  </si>
  <si>
    <t>SANDU</t>
  </si>
  <si>
    <t>ion.sandu077@technova.ro</t>
  </si>
  <si>
    <t>stefan.neagu209@technova.ro</t>
  </si>
  <si>
    <t>irina.ciobanu369@technova.ro</t>
  </si>
  <si>
    <t>simona.ciobanu213@technova.ro</t>
  </si>
  <si>
    <t>andreea.moldovan268@technova.ro</t>
  </si>
  <si>
    <t>bianca.tudor312@technova.ro</t>
  </si>
  <si>
    <t>mihai.preda217@technova.ro</t>
  </si>
  <si>
    <t>andreea.voicu428@technova.ro</t>
  </si>
  <si>
    <t>radu.toma010@technova.ro</t>
  </si>
  <si>
    <t>alexandru.voicu398@technova.ro</t>
  </si>
  <si>
    <t>alexandra.florea416@technova.ro</t>
  </si>
  <si>
    <t>maria.tudor286@technova.ro</t>
  </si>
  <si>
    <t xml:space="preserve"> Irina  </t>
  </si>
  <si>
    <t>irina.dumitru296@technova.ro</t>
  </si>
  <si>
    <t>mihaela.ciobanu105@technova.ro</t>
  </si>
  <si>
    <t>adrian.sandu313@technova.ro</t>
  </si>
  <si>
    <t>vlad.preda427@technova.ro</t>
  </si>
  <si>
    <t>maria.dinu049@technova.ro</t>
  </si>
  <si>
    <t>cristina.marin092@technova.ro</t>
  </si>
  <si>
    <t>catalin.nistor183@technova.ro</t>
  </si>
  <si>
    <t>bianca.dumitru316@technova.ro</t>
  </si>
  <si>
    <t>george.dumitru466@technova.ro</t>
  </si>
  <si>
    <t>mihai.matei173@technova.ro</t>
  </si>
  <si>
    <t>larisa.dumitru233@technova.ro</t>
  </si>
  <si>
    <t>robert.nistor462@technova.ro</t>
  </si>
  <si>
    <t>oana.cozma037@technova.ro</t>
  </si>
  <si>
    <t>ana.dinu157@technova.ro</t>
  </si>
  <si>
    <t>ion.sandu003@technova.ro</t>
  </si>
  <si>
    <t>ionut.neagu243@technova.ro</t>
  </si>
  <si>
    <t>alexandru.dobre309@technova.ro</t>
  </si>
  <si>
    <t>mihaela.matei142@technova.ro</t>
  </si>
  <si>
    <t>maria.oprea224@technova.ro</t>
  </si>
  <si>
    <t>bianca.lungu353@technova.ro</t>
  </si>
  <si>
    <t>irina.lungu184@technova.ro</t>
  </si>
  <si>
    <t>ionut.matei332@technova.ro</t>
  </si>
  <si>
    <t>mihai.stan435@technova.ro</t>
  </si>
  <si>
    <t>ana.sandu418@technova.ro</t>
  </si>
  <si>
    <t>cristian.tudor161@technova.ro</t>
  </si>
  <si>
    <t>maria.rusu337@technova.ro</t>
  </si>
  <si>
    <t>daniel.surdu401@technova.ro</t>
  </si>
  <si>
    <t>larisa.sandu220@technova.ro</t>
  </si>
  <si>
    <t>mihaela.lungu381@technova.ro</t>
  </si>
  <si>
    <t>catalin.moldovan236@technova.ro</t>
  </si>
  <si>
    <t>sorin.barbu439@technova.ro</t>
  </si>
  <si>
    <t>diana.rusu118@technova.ro</t>
  </si>
  <si>
    <t>alexandra.toma342@technova.ro</t>
  </si>
  <si>
    <t>bogdan.matei002@technova.ro</t>
  </si>
  <si>
    <t>gabriela.popescu114@technova.ro</t>
  </si>
  <si>
    <t>DUMITRU</t>
  </si>
  <si>
    <t>oana.dumitru451@technova.ro</t>
  </si>
  <si>
    <t>alexandra.toma175@technova.ro</t>
  </si>
  <si>
    <t>roxana.sandu254@technova.ro</t>
  </si>
  <si>
    <t>mihaela.ene433@technova.ro</t>
  </si>
  <si>
    <t>denisa.florea185@technova.ro</t>
  </si>
  <si>
    <t>sorin.florea166@technova.ro</t>
  </si>
  <si>
    <t>marius.toma373@technova.ro</t>
  </si>
  <si>
    <t>elena.stan275@technova.ro</t>
  </si>
  <si>
    <t>daniel.toma193@technova.ro</t>
  </si>
  <si>
    <t>ana.popescu001@technova.ro</t>
  </si>
  <si>
    <t>bianca.dobre055@technova.ro</t>
  </si>
  <si>
    <t>ana.matei376@technova.ro</t>
  </si>
  <si>
    <t>bianca.surdu029@technova.ro</t>
  </si>
  <si>
    <t>daniel.ene207@technova.ro</t>
  </si>
  <si>
    <t>ion.cozma384@technova.ro</t>
  </si>
  <si>
    <t>daniel.tudor479@technova.ro</t>
  </si>
  <si>
    <t>catalin.preda050@technova.ro</t>
  </si>
  <si>
    <t>oana.neagu351@technova.ro</t>
  </si>
  <si>
    <t>ana.marin021@technova.ro</t>
  </si>
  <si>
    <t>ioana.ionescu294@technova.ro</t>
  </si>
  <si>
    <t>andreea.moldovan177@technova.ro</t>
  </si>
  <si>
    <t>larisa.surdu380@technova.ro</t>
  </si>
  <si>
    <t>ionut.marin034@technova.ro</t>
  </si>
  <si>
    <t>cristian.stan172@technova.ro</t>
  </si>
  <si>
    <t>mihaela.florea008@technova.ro</t>
  </si>
  <si>
    <t>mihai.gheorghe319@technova.ro</t>
  </si>
  <si>
    <t>adrian.florea107@technova.ro</t>
  </si>
  <si>
    <t>larisa.lungu414@technova.ro</t>
  </si>
  <si>
    <t>BARBU</t>
  </si>
  <si>
    <t>larisa.barbu098@technova.ro</t>
  </si>
  <si>
    <t>raluca.cozma111@technova.ro</t>
  </si>
  <si>
    <t>maria.ionescu361@technova.ro</t>
  </si>
  <si>
    <t>andrei.popa070@technova.ro</t>
  </si>
  <si>
    <t>catalin.ene347@technova.ro</t>
  </si>
  <si>
    <t>catalin.dumitru436@technova.ro</t>
  </si>
  <si>
    <t>andreea.ionescu130@technova.ro</t>
  </si>
  <si>
    <t>catalin.surdu317@technova.ro</t>
  </si>
  <si>
    <t>TOMA</t>
  </si>
  <si>
    <t>robert.toma448@technova.ro</t>
  </si>
  <si>
    <t>bogdan.dumitru259@technova.ro</t>
  </si>
  <si>
    <t>irina.cozma323@technova.ro</t>
  </si>
  <si>
    <t>marius.lungu151@technova.ro</t>
  </si>
  <si>
    <t>ionut.neagu338@technova.ro</t>
  </si>
  <si>
    <t>cristina.florea027@technova.ro</t>
  </si>
  <si>
    <t>andrei.ciobanu399@technova.ro</t>
  </si>
  <si>
    <t>bogdan.stan424@technova.ro</t>
  </si>
  <si>
    <t>roxana.tudor094@technova.ro</t>
  </si>
  <si>
    <t>diana.neagu429@technova.ro</t>
  </si>
  <si>
    <t>mihai.dumitru149@technova.ro</t>
  </si>
  <si>
    <t>andrei.ionescu423@technova.ro</t>
  </si>
  <si>
    <t>catalin.dobre120@technova.ro</t>
  </si>
  <si>
    <t>oana.dumitru406@technova.ro</t>
  </si>
  <si>
    <t>ana.marin139@technova.ro</t>
  </si>
  <si>
    <t>ioana.surdu170@technova.ro</t>
  </si>
  <si>
    <t>andreea.matei364@technova.ro</t>
  </si>
  <si>
    <t>oana.dobre203@technova.ro</t>
  </si>
  <si>
    <t>radu.ene148@technova.ro</t>
  </si>
  <si>
    <t>bogdan.preda278@technova.ro</t>
  </si>
  <si>
    <t>florin.constantin457@technova.ro</t>
  </si>
  <si>
    <t>RUSU</t>
  </si>
  <si>
    <t>catalin.rusu441@technova.ro</t>
  </si>
  <si>
    <t>raluca.gheorghe132@technova.ro</t>
  </si>
  <si>
    <t>ionut.moldovan250@technova.ro</t>
  </si>
  <si>
    <t>florin.ionescu153@technova.ro</t>
  </si>
  <si>
    <t>george.constantin363@technova.ro</t>
  </si>
  <si>
    <t>nume_departament</t>
  </si>
  <si>
    <t>oras_sediu</t>
  </si>
  <si>
    <t>buget_anual_lei</t>
  </si>
  <si>
    <t>IT</t>
  </si>
  <si>
    <t>Vânzări</t>
  </si>
  <si>
    <t>Marketing</t>
  </si>
  <si>
    <t>Resurse Umane</t>
  </si>
  <si>
    <t>Financiar</t>
  </si>
  <si>
    <t>Suport Clienți</t>
  </si>
  <si>
    <t>Operațiuni</t>
  </si>
  <si>
    <t>Juridic</t>
  </si>
  <si>
    <t>id_evaluare</t>
  </si>
  <si>
    <t>an_evaluare</t>
  </si>
  <si>
    <t>scor_performanta</t>
  </si>
  <si>
    <t>satisfactie_angajat</t>
  </si>
  <si>
    <t>ore_suplimentare_lunare</t>
  </si>
  <si>
    <t>ore_training_anual</t>
  </si>
  <si>
    <t>zile_concediu_medical</t>
  </si>
  <si>
    <t>procent_bonus</t>
  </si>
  <si>
    <t>Coloana</t>
  </si>
  <si>
    <t>Problema</t>
  </si>
  <si>
    <t>Cate cazuri</t>
  </si>
  <si>
    <t>Ce am facut</t>
  </si>
  <si>
    <t>id_angajat!A1</t>
  </si>
  <si>
    <t>Randuri duplicate</t>
  </si>
  <si>
    <t>Spatii inainte sau dupa nume/prenume</t>
  </si>
  <si>
    <t>nume!B1, prenume!C1</t>
  </si>
  <si>
    <t>Valori pe 2 coloane</t>
  </si>
  <si>
    <t>Valori pe 4 coloane</t>
  </si>
  <si>
    <t>data_nasterii!E1, data_angajarii!F1, data_plecarii!N1</t>
  </si>
  <si>
    <t>8 angajati nu au id_departament</t>
  </si>
  <si>
    <t>id_departament!G1</t>
  </si>
  <si>
    <t>salariu_brut_lunar!L1</t>
  </si>
  <si>
    <t>1,2</t>
  </si>
  <si>
    <t>O valoare negativa si 2 valori prea mari pe coloana salariu_brut_lunar</t>
  </si>
  <si>
    <t>Salarii cu valoarea 0</t>
  </si>
  <si>
    <t>motiv_plecare!O1</t>
  </si>
  <si>
    <t xml:space="preserve">Randuri fara motiv plecare </t>
  </si>
  <si>
    <t>Am folosit formula =IF(AND(M7="Plecat", O7=""), "Nespecificat", O7). 
Daca angajatul este plecat si motivul plecarii lipseste, completez cu “Nespecificat”; altfel pastrez valoarea originala.</t>
  </si>
  <si>
    <t>Nespecificat</t>
  </si>
  <si>
    <t>Randuri fara e-mail</t>
  </si>
  <si>
    <t>email!P1</t>
  </si>
  <si>
    <t>Cu ajutorului unui =COUNTBLANK(P2:P481), am vazut ca sunt 10 randuri fara e-mail.</t>
  </si>
  <si>
    <t>Am folosit =IF(G2&lt;&gt;"", G2, XLOOKUP(H2, H:H, G:G)), unde daca G2 are deja un departament, atunci il pastreaza; iar daca G2 este gol, atunci cauta in tabel alti angajati cu aceeasi functie si returneaza departamentul lor.</t>
  </si>
  <si>
    <t>Am folosit formula TRIM pe coloanele nume si prenume.</t>
  </si>
  <si>
    <t>varsta</t>
  </si>
  <si>
    <t>vechime_ani</t>
  </si>
  <si>
    <t>grupa_vechime</t>
  </si>
  <si>
    <t>Grand Total</t>
  </si>
  <si>
    <t xml:space="preserve">Numarul de angajati pe departament si nivel </t>
  </si>
  <si>
    <t>Count of id_angajat</t>
  </si>
  <si>
    <t>Average of salariu_brut_lunar</t>
  </si>
  <si>
    <t>Salariul mediu pe departament si nivel</t>
  </si>
  <si>
    <t>Rata de plecare per departament</t>
  </si>
  <si>
    <t>Average of plecat</t>
  </si>
  <si>
    <t>Am folosit formula PROPER pe coloanele nume, prenume, nivel si status.</t>
  </si>
  <si>
    <t>Nume si prenume scrise incorect</t>
  </si>
  <si>
    <t>gen!D1, oras!J1,  nivel!I1, status!M1</t>
  </si>
  <si>
    <t>Valori nestandardizate pe coloanele gen, oras , nivel si status</t>
  </si>
  <si>
    <t xml:space="preserve">Am folosit TRIM ce curata spatiile, UPPER/LOWER uniformizeaza textul, LEFT verifica primele litere, iar IF transformă toate variantele într-o singură forma standard. De asemenea, am folosit PROPER pentru nivel si status, pentru a avea doar termeni cu litera mare la inceput. </t>
  </si>
  <si>
    <t>Date extrase din tab-ul angajati_curat</t>
  </si>
  <si>
    <t>Data-Remove duplicates pe toate coloanele.</t>
  </si>
  <si>
    <t>Coerenta date</t>
  </si>
  <si>
    <t>Valori pe 3 coloane</t>
  </si>
  <si>
    <t>Pentru coerenta datelor de formatul  zz.ll.aaaa, am folosit DATE cu LEFT/MID/RIGHT.</t>
  </si>
  <si>
    <t xml:space="preserve"> Am folosit formula =IF(L2&lt;=0, ABS(L2), IF(L2&gt;30000, IF(L2/10 &lt;= AVERAGEIFS($L:$L, $G:$G, G2, $I:$I, I2), L2/10, IF(L2/100 &lt;= AVERAGEIFS($L:$L, $G:$G, G2, $I:$I, I2), L2/100, L2)), L2)). 
Daca salariul este negativ, il fac pozitiv; daca este mai mare de 30,000, incerc sa-l corectez impartindu-l la 10 sau la 100, dar doar daca noua valoare se potriveste cu salariile obisnuite din acelasi departament si nivel; altfel il las neschimbat.</t>
  </si>
  <si>
    <t>Am sters valorile de 0 si le-am tratat ca lipsa. Am folosit formula =IF(L2="", MEDIAN(FILTER($L$2:$L$481, ($G$2:$G$481=G2)*($I$2:$I$481=I2)*($L$2:$L$481&lt;&gt;""))), L2). 
Daca salariul lipseste, il completez cu mediana salariilor din acelasi departament si nivel; daca salariul exista, il las neschimbat.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</si>
</sst>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pivotButton="1" applyNumberFormat="1"/>
    <xf numFmtId="0" fontId="5" fillId="0" borderId="0" xfId="0" applyFont="1"/>
    <xf numFmtId="10" fontId="0" fillId="0" borderId="0" xfId="0" applyNumberFormat="1"/>
    <xf numFmtId="0" fontId="6" fillId="0" borderId="0" xfId="0" applyFont="1"/>
    <xf numFmtId="1" fontId="0" fillId="0" borderId="0" xfId="1" applyNumberFormat="1" applyFont="1" applyAlignment="1">
      <alignment horizontal="center"/>
    </xf>
    <xf numFmtId="1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53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eaSlim 5" refreshedDate="46310.772290393521" createdVersion="8" refreshedVersion="8" minRefreshableVersion="3" recordCount="480" xr:uid="{D6A23DE1-D17E-4603-8136-CE30DF80CD6B}">
  <cacheSource type="worksheet">
    <worksheetSource name="angajati__2"/>
  </cacheSource>
  <cacheFields count="21">
    <cacheField name="id_angajat" numFmtId="0">
      <sharedItems containsSemiMixedTypes="0" containsString="0" containsNumber="1" containsInteger="1" minValue="1001" maxValue="1480" count="480">
        <n v="1081"/>
        <n v="1074"/>
        <n v="1135"/>
        <n v="1473"/>
        <n v="1145"/>
        <n v="1038"/>
        <n v="1167"/>
        <n v="1106"/>
        <n v="1082"/>
        <n v="1282"/>
        <n v="1189"/>
        <n v="1225"/>
        <n v="1133"/>
        <n v="1267"/>
        <n v="1137"/>
        <n v="1365"/>
        <n v="1475"/>
        <n v="1028"/>
        <n v="1274"/>
        <n v="1333"/>
        <n v="1345"/>
        <n v="1191"/>
        <n v="1322"/>
        <n v="1403"/>
        <n v="1058"/>
        <n v="1300"/>
        <n v="1125"/>
        <n v="1318"/>
        <n v="1104"/>
        <n v="1156"/>
        <n v="1261"/>
        <n v="1379"/>
        <n v="1160"/>
        <n v="1226"/>
        <n v="1464"/>
        <n v="1389"/>
        <n v="1339"/>
        <n v="1229"/>
        <n v="1088"/>
        <n v="1117"/>
        <n v="1463"/>
        <n v="1408"/>
        <n v="1394"/>
        <n v="1154"/>
        <n v="1138"/>
        <n v="1128"/>
        <n v="1197"/>
        <n v="1127"/>
        <n v="1162"/>
        <n v="1215"/>
        <n v="1230"/>
        <n v="1352"/>
        <n v="1335"/>
        <n v="1017"/>
        <n v="1015"/>
        <n v="1041"/>
        <n v="1113"/>
        <n v="1052"/>
        <n v="1211"/>
        <n v="1447"/>
        <n v="1044"/>
        <n v="1291"/>
        <n v="1287"/>
        <n v="1329"/>
        <n v="1244"/>
        <n v="1194"/>
        <n v="1067"/>
        <n v="1205"/>
        <n v="1270"/>
        <n v="1440"/>
        <n v="1306"/>
        <n v="1016"/>
        <n v="1140"/>
        <n v="1102"/>
        <n v="1131"/>
        <n v="1359"/>
        <n v="1068"/>
        <n v="1204"/>
        <n v="1452"/>
        <n v="1454"/>
        <n v="1180"/>
        <n v="1302"/>
        <n v="1108"/>
        <n v="1103"/>
        <n v="1147"/>
        <n v="1297"/>
        <n v="1100"/>
        <n v="1445"/>
        <n v="1178"/>
        <n v="1256"/>
        <n v="1285"/>
        <n v="1190"/>
        <n v="1377"/>
        <n v="1314"/>
        <n v="1385"/>
        <n v="1305"/>
        <n v="1084"/>
        <n v="1396"/>
        <n v="1358"/>
        <n v="1062"/>
        <n v="1341"/>
        <n v="1417"/>
        <n v="1467"/>
        <n v="1060"/>
        <n v="1186"/>
        <n v="1011"/>
        <n v="1056"/>
        <n v="1446"/>
        <n v="1362"/>
        <n v="1057"/>
        <n v="1477"/>
        <n v="1348"/>
        <n v="1198"/>
        <n v="1089"/>
        <n v="1262"/>
        <n v="1025"/>
        <n v="1112"/>
        <n v="1115"/>
        <n v="1195"/>
        <n v="1391"/>
        <n v="1331"/>
        <n v="1395"/>
        <n v="1032"/>
        <n v="1334"/>
        <n v="1192"/>
        <n v="1434"/>
        <n v="1171"/>
        <n v="1181"/>
        <n v="1165"/>
        <n v="1228"/>
        <n v="1176"/>
        <n v="1263"/>
        <n v="1249"/>
        <n v="1438"/>
        <n v="1269"/>
        <n v="1129"/>
        <n v="1458"/>
        <n v="1124"/>
        <n v="1328"/>
        <n v="1289"/>
        <n v="1234"/>
        <n v="1099"/>
        <n v="1240"/>
        <n v="1288"/>
        <n v="1158"/>
        <n v="1187"/>
        <n v="1210"/>
        <n v="1346"/>
        <n v="1292"/>
        <n v="1304"/>
        <n v="1349"/>
        <n v="1419"/>
        <n v="1444"/>
        <n v="1109"/>
        <n v="1422"/>
        <n v="1245"/>
        <n v="1272"/>
        <n v="1387"/>
        <n v="1083"/>
        <n v="1241"/>
        <n v="1054"/>
        <n v="1242"/>
        <n v="1085"/>
        <n v="1426"/>
        <n v="1480"/>
        <n v="1397"/>
        <n v="1420"/>
        <n v="1202"/>
        <n v="1075"/>
        <n v="1453"/>
        <n v="1402"/>
        <n v="1273"/>
        <n v="1383"/>
        <n v="1024"/>
        <n v="1410"/>
        <n v="1155"/>
        <n v="1340"/>
        <n v="1374"/>
        <n v="1237"/>
        <n v="1051"/>
        <n v="1039"/>
        <n v="1279"/>
        <n v="1478"/>
        <n v="1006"/>
        <n v="1076"/>
        <n v="1143"/>
        <n v="1048"/>
        <n v="1047"/>
        <n v="1071"/>
        <n v="1080"/>
        <n v="1031"/>
        <n v="1012"/>
        <n v="1350"/>
        <n v="1469"/>
        <n v="1271"/>
        <n v="1116"/>
        <n v="1026"/>
        <n v="1196"/>
        <n v="1392"/>
        <n v="1066"/>
        <n v="1290"/>
        <n v="1046"/>
        <n v="1400"/>
        <n v="1393"/>
        <n v="1252"/>
        <n v="1461"/>
        <n v="1474"/>
        <n v="1069"/>
        <n v="1367"/>
        <n v="1078"/>
        <n v="1295"/>
        <n v="1437"/>
        <n v="1280"/>
        <n v="1059"/>
        <n v="1126"/>
        <n v="1043"/>
        <n v="1005"/>
        <n v="1122"/>
        <n v="1169"/>
        <n v="1141"/>
        <n v="1231"/>
        <n v="1430"/>
        <n v="1321"/>
        <n v="1110"/>
        <n v="1119"/>
        <n v="1206"/>
        <n v="1303"/>
        <n v="1307"/>
        <n v="1007"/>
        <n v="1355"/>
        <n v="1255"/>
        <n v="1415"/>
        <n v="1238"/>
        <n v="1411"/>
        <n v="1248"/>
        <n v="1390"/>
        <n v="1022"/>
        <n v="1431"/>
        <n v="1004"/>
        <n v="1260"/>
        <n v="1212"/>
        <n v="1123"/>
        <n v="1079"/>
        <n v="1388"/>
        <n v="1468"/>
        <n v="1219"/>
        <n v="1266"/>
        <n v="1065"/>
        <n v="1019"/>
        <n v="1343"/>
        <n v="1152"/>
        <n v="1281"/>
        <n v="1164"/>
        <n v="1330"/>
        <n v="1366"/>
        <n v="1320"/>
        <n v="1144"/>
        <n v="1407"/>
        <n v="1413"/>
        <n v="1200"/>
        <n v="1042"/>
        <n v="1283"/>
        <n v="1327"/>
        <n v="1232"/>
        <n v="1246"/>
        <n v="1371"/>
        <n v="1326"/>
        <n v="1443"/>
        <n v="1264"/>
        <n v="1030"/>
        <n v="1239"/>
        <n v="1251"/>
        <n v="1163"/>
        <n v="1150"/>
        <n v="1372"/>
        <n v="1368"/>
        <n v="1095"/>
        <n v="1222"/>
        <n v="1086"/>
        <n v="1188"/>
        <n v="1090"/>
        <n v="1315"/>
        <n v="1035"/>
        <n v="1218"/>
        <n v="1073"/>
        <n v="1221"/>
        <n v="1299"/>
        <n v="1450"/>
        <n v="1459"/>
        <n v="1013"/>
        <n v="1199"/>
        <n v="1214"/>
        <n v="1432"/>
        <n v="1235"/>
        <n v="1412"/>
        <n v="1425"/>
        <n v="1442"/>
        <n v="1097"/>
        <n v="1311"/>
        <n v="1298"/>
        <n v="1064"/>
        <n v="1223"/>
        <n v="1096"/>
        <n v="1014"/>
        <n v="1018"/>
        <n v="1356"/>
        <n v="1247"/>
        <n v="1382"/>
        <n v="1208"/>
        <n v="1091"/>
        <n v="1308"/>
        <n v="1324"/>
        <n v="1354"/>
        <n v="1040"/>
        <n v="1087"/>
        <n v="1182"/>
        <n v="1449"/>
        <n v="1146"/>
        <n v="1159"/>
        <n v="1472"/>
        <n v="1360"/>
        <n v="1460"/>
        <n v="1344"/>
        <n v="1201"/>
        <n v="1293"/>
        <n v="1072"/>
        <n v="1375"/>
        <n v="1409"/>
        <n v="1357"/>
        <n v="1386"/>
        <n v="1470"/>
        <n v="1456"/>
        <n v="1421"/>
        <n v="1134"/>
        <n v="1061"/>
        <n v="1370"/>
        <n v="1471"/>
        <n v="1101"/>
        <n v="1020"/>
        <n v="1378"/>
        <n v="1455"/>
        <n v="1265"/>
        <n v="1277"/>
        <n v="1009"/>
        <n v="1310"/>
        <n v="1284"/>
        <n v="1465"/>
        <n v="1093"/>
        <n v="1253"/>
        <n v="1033"/>
        <n v="1136"/>
        <n v="1023"/>
        <n v="1063"/>
        <n v="1476"/>
        <n v="1216"/>
        <n v="1404"/>
        <n v="1258"/>
        <n v="1053"/>
        <n v="1405"/>
        <n v="1174"/>
        <n v="1036"/>
        <n v="1179"/>
        <n v="1168"/>
        <n v="1227"/>
        <n v="1121"/>
        <n v="1276"/>
        <n v="1045"/>
        <n v="1301"/>
        <n v="1325"/>
        <n v="1077"/>
        <n v="1209"/>
        <n v="1369"/>
        <n v="1213"/>
        <n v="1268"/>
        <n v="1312"/>
        <n v="1217"/>
        <n v="1428"/>
        <n v="1010"/>
        <n v="1398"/>
        <n v="1416"/>
        <n v="1286"/>
        <n v="1296"/>
        <n v="1105"/>
        <n v="1313"/>
        <n v="1427"/>
        <n v="1049"/>
        <n v="1092"/>
        <n v="1183"/>
        <n v="1316"/>
        <n v="1466"/>
        <n v="1173"/>
        <n v="1233"/>
        <n v="1462"/>
        <n v="1037"/>
        <n v="1157"/>
        <n v="1003"/>
        <n v="1243"/>
        <n v="1309"/>
        <n v="1142"/>
        <n v="1224"/>
        <n v="1353"/>
        <n v="1184"/>
        <n v="1332"/>
        <n v="1435"/>
        <n v="1418"/>
        <n v="1161"/>
        <n v="1337"/>
        <n v="1401"/>
        <n v="1220"/>
        <n v="1381"/>
        <n v="1236"/>
        <n v="1439"/>
        <n v="1118"/>
        <n v="1342"/>
        <n v="1002"/>
        <n v="1114"/>
        <n v="1451"/>
        <n v="1175"/>
        <n v="1254"/>
        <n v="1433"/>
        <n v="1185"/>
        <n v="1166"/>
        <n v="1373"/>
        <n v="1275"/>
        <n v="1193"/>
        <n v="1001"/>
        <n v="1055"/>
        <n v="1376"/>
        <n v="1029"/>
        <n v="1207"/>
        <n v="1384"/>
        <n v="1479"/>
        <n v="1050"/>
        <n v="1351"/>
        <n v="1021"/>
        <n v="1294"/>
        <n v="1177"/>
        <n v="1336"/>
        <n v="1380"/>
        <n v="1034"/>
        <n v="1172"/>
        <n v="1008"/>
        <n v="1319"/>
        <n v="1107"/>
        <n v="1414"/>
        <n v="1098"/>
        <n v="1111"/>
        <n v="1361"/>
        <n v="1070"/>
        <n v="1347"/>
        <n v="1436"/>
        <n v="1130"/>
        <n v="1317"/>
        <n v="1448"/>
        <n v="1259"/>
        <n v="1323"/>
        <n v="1151"/>
        <n v="1338"/>
        <n v="1027"/>
        <n v="1399"/>
        <n v="1424"/>
        <n v="1094"/>
        <n v="1429"/>
        <n v="1149"/>
        <n v="1423"/>
        <n v="1120"/>
        <n v="1406"/>
        <n v="1139"/>
        <n v="1170"/>
        <n v="1364"/>
        <n v="1203"/>
        <n v="1148"/>
        <n v="1278"/>
        <n v="1257"/>
        <n v="1457"/>
        <n v="1441"/>
        <n v="1132"/>
        <n v="1250"/>
        <n v="1153"/>
        <n v="1363"/>
      </sharedItems>
    </cacheField>
    <cacheField name="nume" numFmtId="0">
      <sharedItems/>
    </cacheField>
    <cacheField name="prenume" numFmtId="0">
      <sharedItems/>
    </cacheField>
    <cacheField name="gen" numFmtId="0">
      <sharedItems/>
    </cacheField>
    <cacheField name="data_nasterii" numFmtId="14">
      <sharedItems containsSemiMixedTypes="0" containsNonDate="0" containsDate="1" containsString="0" minDate="1969-10-15T00:00:00" maxDate="2004-07-29T00:00:00"/>
    </cacheField>
    <cacheField name="data_angajarii" numFmtId="14">
      <sharedItems containsSemiMixedTypes="0" containsNonDate="0" containsDate="1" containsString="0" minDate="2016-01-06T00:00:00" maxDate="2025-08-28T00:00:00"/>
    </cacheField>
    <cacheField name="id_departament" numFmtId="0">
      <sharedItems containsSemiMixedTypes="0" containsString="0" containsNumber="1" containsInteger="1" minValue="10" maxValue="80"/>
    </cacheField>
    <cacheField name="functie" numFmtId="0">
      <sharedItems/>
    </cacheField>
    <cacheField name="nivel" numFmtId="0">
      <sharedItems count="4">
        <s v="Manager"/>
        <s v="Mid"/>
        <s v="Senior"/>
        <s v="Junior"/>
      </sharedItems>
    </cacheField>
    <cacheField name="oras" numFmtId="0">
      <sharedItems/>
    </cacheField>
    <cacheField name="tip_contract" numFmtId="0">
      <sharedItems/>
    </cacheField>
    <cacheField name="salariu_brut_lunar" numFmtId="164">
      <sharedItems containsSemiMixedTypes="0" containsString="0" containsNumber="1" containsInteger="1" minValue="2300" maxValue="18200"/>
    </cacheField>
    <cacheField name="status" numFmtId="0">
      <sharedItems/>
    </cacheField>
    <cacheField name="data_plecarii" numFmtId="14">
      <sharedItems containsNonDate="0" containsDate="1" containsString="0" containsBlank="1" minDate="2017-03-30T00:00:00" maxDate="2025-12-30T00:00:00"/>
    </cacheField>
    <cacheField name="motiv_plecare" numFmtId="0">
      <sharedItems containsBlank="1"/>
    </cacheField>
    <cacheField name="email" numFmtId="0">
      <sharedItems containsBlank="1"/>
    </cacheField>
    <cacheField name="nume_departament" numFmtId="0">
      <sharedItems count="8">
        <s v="Suport Clienți"/>
        <s v="Operațiuni"/>
        <s v="IT"/>
        <s v="Marketing"/>
        <s v="Vânzări"/>
        <s v="Financiar"/>
        <s v="Resurse Umane"/>
        <s v="Juridic"/>
      </sharedItems>
    </cacheField>
    <cacheField name="varsta" numFmtId="0">
      <sharedItems containsSemiMixedTypes="0" containsString="0" containsNumber="1" containsInteger="1" minValue="21" maxValue="56"/>
    </cacheField>
    <cacheField name="vechime_ani" numFmtId="0">
      <sharedItems containsSemiMixedTypes="0" containsString="0" containsNumber="1" minValue="0.3" maxValue="9.9"/>
    </cacheField>
    <cacheField name="grupa_vechime" numFmtId="0">
      <sharedItems/>
    </cacheField>
    <cacheField name="pleca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x v="0"/>
    <s v="Voicu"/>
    <s v="Bianca"/>
    <s v="F"/>
    <d v="1980-06-09T00:00:00"/>
    <d v="2018-01-20T00:00:00"/>
    <n v="60"/>
    <s v="Manager Suport Clienți"/>
    <x v="0"/>
    <s v="București"/>
    <s v="Full-time"/>
    <n v="8000"/>
    <s v="Plecat"/>
    <d v="2023-03-21T00:00:00"/>
    <s v="Relația cu managerul"/>
    <s v="bianca.voicu081@technova.ro"/>
    <x v="0"/>
    <n v="45"/>
    <n v="5.2"/>
    <s v="&gt; 5 ani"/>
    <n v="1"/>
  </r>
  <r>
    <x v="1"/>
    <s v="Nistor"/>
    <s v="Cristian"/>
    <s v="M"/>
    <d v="1998-03-08T00:00:00"/>
    <d v="2024-07-24T00:00:00"/>
    <n v="60"/>
    <s v="Operator Call Center"/>
    <x v="1"/>
    <s v="Timișoara"/>
    <s v="Full-time"/>
    <n v="4100"/>
    <s v="Activ"/>
    <m/>
    <m/>
    <s v="cristian.nistor074@technova.ro"/>
    <x v="0"/>
    <n v="27"/>
    <n v="1.4"/>
    <s v="1–3 ani"/>
    <n v="0"/>
  </r>
  <r>
    <x v="2"/>
    <s v="Voicu"/>
    <s v="Radu"/>
    <s v="M"/>
    <d v="1975-01-07T00:00:00"/>
    <d v="2018-05-28T00:00:00"/>
    <n v="70"/>
    <s v="Coordonator Logistică"/>
    <x v="2"/>
    <s v="București"/>
    <s v="Part-time"/>
    <n v="7800"/>
    <s v="Activ"/>
    <m/>
    <m/>
    <s v="radu.voicu135@technova.ro"/>
    <x v="1"/>
    <n v="50"/>
    <n v="7.6"/>
    <s v="&gt; 5 ani"/>
    <n v="0"/>
  </r>
  <r>
    <x v="3"/>
    <s v="Popescu"/>
    <s v="Florin"/>
    <s v="M"/>
    <d v="1993-09-21T00:00:00"/>
    <d v="2019-07-20T00:00:00"/>
    <n v="10"/>
    <s v="Tester QA"/>
    <x v="3"/>
    <s v="Cluj-Napoca"/>
    <s v="Full-time"/>
    <n v="6100"/>
    <s v="Activ"/>
    <m/>
    <m/>
    <s v="florin.popescu473@technova.ro"/>
    <x v="2"/>
    <n v="32"/>
    <n v="6.4"/>
    <s v="&gt; 5 ani"/>
    <n v="0"/>
  </r>
  <r>
    <x v="4"/>
    <s v="Constantin"/>
    <s v="Florin"/>
    <s v="M"/>
    <d v="1994-04-28T00:00:00"/>
    <d v="2022-09-04T00:00:00"/>
    <n v="10"/>
    <s v="Analist IT"/>
    <x v="2"/>
    <s v="București"/>
    <s v="Full-time"/>
    <n v="14500"/>
    <s v="Activ"/>
    <m/>
    <m/>
    <s v="florin.constantin145@technova.ro"/>
    <x v="2"/>
    <n v="31"/>
    <n v="3.3"/>
    <s v="3–5 ani"/>
    <n v="0"/>
  </r>
  <r>
    <x v="5"/>
    <s v="Constantin"/>
    <s v="Simona"/>
    <s v="F"/>
    <d v="1990-06-15T00:00:00"/>
    <d v="2017-07-13T00:00:00"/>
    <n v="60"/>
    <s v="Manager Suport Clienți"/>
    <x v="0"/>
    <s v="Iași"/>
    <s v="Full-time"/>
    <n v="8000"/>
    <s v="Activ"/>
    <m/>
    <m/>
    <s v="simona.constantin038@technova.ro"/>
    <x v="0"/>
    <n v="35"/>
    <n v="8.5"/>
    <s v="&gt; 5 ani"/>
    <n v="0"/>
  </r>
  <r>
    <x v="6"/>
    <s v="Barbu"/>
    <s v="Cristian"/>
    <s v="M"/>
    <d v="1976-12-28T00:00:00"/>
    <d v="2025-01-05T00:00:00"/>
    <n v="30"/>
    <s v="Content Creator"/>
    <x v="1"/>
    <s v="București"/>
    <s v="Part-time"/>
    <n v="5950"/>
    <s v="Activ"/>
    <m/>
    <m/>
    <s v="cristian.barbu167@technova.ro"/>
    <x v="3"/>
    <n v="49"/>
    <n v="1"/>
    <s v="1–3 ani"/>
    <n v="0"/>
  </r>
  <r>
    <x v="7"/>
    <s v="Sandu"/>
    <s v="Andreea"/>
    <s v="F"/>
    <d v="1989-08-03T00:00:00"/>
    <d v="2024-01-05T00:00:00"/>
    <n v="20"/>
    <s v="Manager Vânzări"/>
    <x v="0"/>
    <s v="București"/>
    <s v="Full-time"/>
    <n v="11700"/>
    <s v="Plecat"/>
    <d v="2025-06-03T00:00:00"/>
    <s v="Relocare"/>
    <s v="andreea.sandu106@technova.ro"/>
    <x v="4"/>
    <n v="36"/>
    <n v="1.4"/>
    <s v="1–3 ani"/>
    <n v="1"/>
  </r>
  <r>
    <x v="8"/>
    <s v="Matei"/>
    <s v="Ana"/>
    <s v="F"/>
    <d v="1979-06-09T00:00:00"/>
    <d v="2019-02-03T00:00:00"/>
    <n v="70"/>
    <s v="Coordonator Logistică"/>
    <x v="2"/>
    <s v="Timișoara"/>
    <s v="Full-time"/>
    <n v="6300"/>
    <s v="Activ"/>
    <m/>
    <m/>
    <s v="ana.matei082@technova.ro"/>
    <x v="1"/>
    <n v="46"/>
    <n v="6.9"/>
    <s v="&gt; 5 ani"/>
    <n v="0"/>
  </r>
  <r>
    <x v="9"/>
    <s v="Preda"/>
    <s v="Ana"/>
    <s v="F"/>
    <d v="1988-06-23T00:00:00"/>
    <d v="2025-05-15T00:00:00"/>
    <n v="20"/>
    <s v="Agent Vânzări"/>
    <x v="1"/>
    <s v="București"/>
    <s v="Full-time"/>
    <n v="5650"/>
    <s v="Activ"/>
    <m/>
    <m/>
    <s v="ana.preda282@technova.ro"/>
    <x v="4"/>
    <n v="37"/>
    <n v="0.6"/>
    <s v="&lt; 1 an"/>
    <n v="0"/>
  </r>
  <r>
    <x v="10"/>
    <s v="Florea"/>
    <s v="Florin"/>
    <s v="M"/>
    <d v="1989-02-21T00:00:00"/>
    <d v="2019-08-26T00:00:00"/>
    <n v="50"/>
    <s v="Contabil"/>
    <x v="2"/>
    <s v="București"/>
    <s v="Full-time"/>
    <n v="10200"/>
    <s v="Activ"/>
    <m/>
    <m/>
    <s v="florin.florea189@technova.ro"/>
    <x v="5"/>
    <n v="36"/>
    <n v="6.3"/>
    <s v="&gt; 5 ani"/>
    <n v="0"/>
  </r>
  <r>
    <x v="11"/>
    <s v="Marin"/>
    <s v="Simona"/>
    <s v="F"/>
    <d v="1989-04-23T00:00:00"/>
    <d v="2018-10-03T00:00:00"/>
    <n v="70"/>
    <s v="Manager Operațiuni"/>
    <x v="0"/>
    <s v="Timișoara"/>
    <s v="Full-time"/>
    <n v="9550"/>
    <s v="Activ"/>
    <m/>
    <m/>
    <s v="simona.marin225@technova.ro"/>
    <x v="1"/>
    <n v="36"/>
    <n v="7.2"/>
    <s v="&gt; 5 ani"/>
    <n v="0"/>
  </r>
  <r>
    <x v="12"/>
    <s v="Constantin"/>
    <s v="Ana"/>
    <s v="F"/>
    <d v="1993-02-06T00:00:00"/>
    <d v="2020-01-05T00:00:00"/>
    <n v="60"/>
    <s v="Specialist Suport"/>
    <x v="3"/>
    <s v="Iași"/>
    <s v="Full-time"/>
    <n v="2750"/>
    <s v="Activ"/>
    <m/>
    <m/>
    <s v="ana.constantin133@technova.ro"/>
    <x v="0"/>
    <n v="32"/>
    <n v="6"/>
    <s v="&gt; 5 ani"/>
    <n v="0"/>
  </r>
  <r>
    <x v="13"/>
    <s v="Ionescu"/>
    <s v="Mihai"/>
    <s v="M"/>
    <d v="1989-05-18T00:00:00"/>
    <d v="2016-11-15T00:00:00"/>
    <n v="30"/>
    <s v="Content Creator"/>
    <x v="1"/>
    <s v="Cluj-Napoca"/>
    <s v="Full-time"/>
    <n v="6700"/>
    <s v="Activ"/>
    <m/>
    <m/>
    <s v="mihai.ionescu267@technova.ro"/>
    <x v="3"/>
    <n v="36"/>
    <n v="9.1"/>
    <s v="&gt; 5 ani"/>
    <n v="0"/>
  </r>
  <r>
    <x v="14"/>
    <s v="Voicu"/>
    <s v="Bianca"/>
    <s v="F"/>
    <d v="1974-10-07T00:00:00"/>
    <d v="2025-04-24T00:00:00"/>
    <n v="30"/>
    <s v="Content Creator"/>
    <x v="2"/>
    <s v="București"/>
    <s v="Part-time"/>
    <n v="8900"/>
    <s v="Activ"/>
    <m/>
    <m/>
    <s v="bianca.voicu137@technova.ro"/>
    <x v="3"/>
    <n v="51"/>
    <n v="0.7"/>
    <s v="&lt; 1 an"/>
    <n v="0"/>
  </r>
  <r>
    <x v="15"/>
    <s v="Stoica"/>
    <s v="Radu"/>
    <s v="M"/>
    <d v="1988-06-22T00:00:00"/>
    <d v="2023-06-20T00:00:00"/>
    <n v="70"/>
    <s v="Coordonator Logistică"/>
    <x v="3"/>
    <s v="Timișoara"/>
    <s v="Full-time"/>
    <n v="3200"/>
    <s v="Activ"/>
    <m/>
    <m/>
    <s v="radu.stoica365@technova.ro"/>
    <x v="1"/>
    <n v="37"/>
    <n v="2.5"/>
    <s v="1–3 ani"/>
    <n v="0"/>
  </r>
  <r>
    <x v="16"/>
    <s v="Constantin"/>
    <s v="Bianca"/>
    <s v="F"/>
    <d v="1979-12-24T00:00:00"/>
    <d v="2016-12-20T00:00:00"/>
    <n v="10"/>
    <s v="Programator"/>
    <x v="2"/>
    <s v="București"/>
    <s v="Full-time"/>
    <n v="12350"/>
    <s v="Activ"/>
    <m/>
    <m/>
    <s v="bianca.constantin475@technova.ro"/>
    <x v="2"/>
    <n v="46"/>
    <n v="9"/>
    <s v="&gt; 5 ani"/>
    <n v="0"/>
  </r>
  <r>
    <x v="17"/>
    <s v="Oprea"/>
    <s v="Diana"/>
    <s v="F"/>
    <d v="1981-12-23T00:00:00"/>
    <d v="2020-04-24T00:00:00"/>
    <n v="70"/>
    <s v="Coordonator Logistică"/>
    <x v="1"/>
    <s v="Timișoara"/>
    <s v="Full-time"/>
    <n v="4550"/>
    <s v="Activ"/>
    <m/>
    <m/>
    <s v="diana.oprea028@technova.ro"/>
    <x v="1"/>
    <n v="44"/>
    <n v="5.7"/>
    <s v="&gt; 5 ani"/>
    <n v="0"/>
  </r>
  <r>
    <x v="18"/>
    <s v="Dobre"/>
    <s v="Simona"/>
    <s v="F"/>
    <d v="1990-08-01T00:00:00"/>
    <d v="2023-01-13T00:00:00"/>
    <n v="10"/>
    <s v="Programator"/>
    <x v="1"/>
    <s v="București"/>
    <s v="Full-time"/>
    <n v="9200"/>
    <s v="Activ"/>
    <m/>
    <m/>
    <s v="simona.dobre274@technova.ro"/>
    <x v="2"/>
    <n v="35"/>
    <n v="3"/>
    <s v="3–5 ani"/>
    <n v="0"/>
  </r>
  <r>
    <x v="19"/>
    <s v="Stan"/>
    <s v="Robert"/>
    <s v="M"/>
    <d v="1993-04-26T00:00:00"/>
    <d v="2020-07-24T00:00:00"/>
    <n v="60"/>
    <s v="Specialist Suport"/>
    <x v="1"/>
    <s v="Iași"/>
    <s v="Full-time"/>
    <n v="4300"/>
    <s v="Activ"/>
    <m/>
    <m/>
    <s v="robert.stan333@technova.ro"/>
    <x v="0"/>
    <n v="32"/>
    <n v="5.4"/>
    <s v="&gt; 5 ani"/>
    <n v="0"/>
  </r>
  <r>
    <x v="20"/>
    <s v="Marin"/>
    <s v="Daniel"/>
    <s v="M"/>
    <d v="1993-07-01T00:00:00"/>
    <d v="2017-06-14T00:00:00"/>
    <n v="20"/>
    <s v="Agent Vânzări"/>
    <x v="3"/>
    <s v="București"/>
    <s v="Full-time"/>
    <n v="4250"/>
    <s v="Activ"/>
    <m/>
    <m/>
    <s v="daniel.marin345@technova.ro"/>
    <x v="4"/>
    <n v="32"/>
    <n v="8.5"/>
    <s v="&gt; 5 ani"/>
    <n v="0"/>
  </r>
  <r>
    <x v="21"/>
    <s v="Munteanu"/>
    <s v="Bianca"/>
    <s v="F"/>
    <d v="1976-05-05T00:00:00"/>
    <d v="2024-08-14T00:00:00"/>
    <n v="40"/>
    <s v="Specialist HR"/>
    <x v="1"/>
    <s v="București"/>
    <s v="Full-time"/>
    <n v="6100"/>
    <s v="Activ"/>
    <m/>
    <m/>
    <s v="bianca.munteanu191@technova.ro"/>
    <x v="6"/>
    <n v="49"/>
    <n v="1.4"/>
    <s v="1–3 ani"/>
    <n v="0"/>
  </r>
  <r>
    <x v="22"/>
    <s v="Stan"/>
    <s v="Robert"/>
    <s v="M"/>
    <d v="1984-02-06T00:00:00"/>
    <d v="2016-11-15T00:00:00"/>
    <n v="20"/>
    <s v="Key Account Manager"/>
    <x v="1"/>
    <s v="București"/>
    <s v="Full-time"/>
    <n v="5700"/>
    <s v="Plecat"/>
    <d v="2020-12-15T00:00:00"/>
    <s v="Salariu mai bun în altă parte"/>
    <s v="robert.stan322@technova.ro"/>
    <x v="4"/>
    <n v="41"/>
    <n v="4.0999999999999996"/>
    <s v="3–5 ani"/>
    <n v="1"/>
  </r>
  <r>
    <x v="23"/>
    <s v="Popescu"/>
    <s v="Ionuț"/>
    <s v="M"/>
    <d v="1974-07-12T00:00:00"/>
    <d v="2019-01-27T00:00:00"/>
    <n v="10"/>
    <s v="DevOps Engineer"/>
    <x v="2"/>
    <s v="București"/>
    <s v="Full-time"/>
    <n v="14650"/>
    <s v="Activ"/>
    <m/>
    <m/>
    <s v="ionut.popescu403@technova.ro"/>
    <x v="2"/>
    <n v="51"/>
    <n v="6.9"/>
    <s v="&gt; 5 ani"/>
    <n v="0"/>
  </r>
  <r>
    <x v="24"/>
    <s v="Ionescu"/>
    <s v="Bogdan"/>
    <s v="M"/>
    <d v="1977-06-06T00:00:00"/>
    <d v="2018-08-03T00:00:00"/>
    <n v="70"/>
    <s v="Coordonator Logistică"/>
    <x v="2"/>
    <s v="Timișoara"/>
    <s v="Full-time"/>
    <n v="8150"/>
    <s v="Activ"/>
    <m/>
    <m/>
    <s v="bogdan.ionescu058@technova.ro"/>
    <x v="1"/>
    <n v="48"/>
    <n v="7.4"/>
    <s v="&gt; 5 ani"/>
    <n v="0"/>
  </r>
  <r>
    <x v="25"/>
    <s v="Dinu"/>
    <s v="Marius"/>
    <s v="M"/>
    <d v="2000-06-01T00:00:00"/>
    <d v="2021-09-28T00:00:00"/>
    <n v="30"/>
    <s v="Content Creator"/>
    <x v="3"/>
    <s v="Cluj-Napoca"/>
    <s v="Full-time"/>
    <n v="3400"/>
    <s v="Activ"/>
    <m/>
    <m/>
    <s v="marius.dinu300@technova.ro"/>
    <x v="3"/>
    <n v="25"/>
    <n v="4.3"/>
    <s v="3–5 ani"/>
    <n v="0"/>
  </r>
  <r>
    <x v="26"/>
    <s v="Toma"/>
    <s v="Robert"/>
    <s v="M"/>
    <d v="1996-03-07T00:00:00"/>
    <d v="2018-05-02T00:00:00"/>
    <n v="70"/>
    <s v="Specialist Operațiuni"/>
    <x v="1"/>
    <s v="Timișoara"/>
    <s v="Full-time"/>
    <n v="5450"/>
    <s v="Plecat"/>
    <d v="2022-01-17T00:00:00"/>
    <s v="Lipsa oportunităților de promovare"/>
    <s v="robert.toma125@technova.ro"/>
    <x v="1"/>
    <n v="29"/>
    <n v="3.7"/>
    <s v="3–5 ani"/>
    <n v="1"/>
  </r>
  <r>
    <x v="27"/>
    <s v="Florea"/>
    <s v="Denisa"/>
    <s v="F"/>
    <d v="1981-06-14T00:00:00"/>
    <d v="2021-04-12T00:00:00"/>
    <n v="40"/>
    <s v="Recruiter"/>
    <x v="1"/>
    <s v="București"/>
    <s v="Full-time"/>
    <n v="5100"/>
    <s v="Activ"/>
    <m/>
    <m/>
    <s v="denisa.florea318@technova.ro"/>
    <x v="6"/>
    <n v="44"/>
    <n v="4.7"/>
    <s v="3–5 ani"/>
    <n v="0"/>
  </r>
  <r>
    <x v="28"/>
    <s v="Gheorghe"/>
    <s v="Diana"/>
    <s v="F"/>
    <d v="1990-06-23T00:00:00"/>
    <d v="2019-06-23T00:00:00"/>
    <n v="50"/>
    <s v="Analist Financiar"/>
    <x v="1"/>
    <s v="București"/>
    <s v="Full-time"/>
    <n v="6300"/>
    <s v="Activ"/>
    <m/>
    <m/>
    <s v="diana.gheorghe104@technova.ro"/>
    <x v="5"/>
    <n v="35"/>
    <n v="6.5"/>
    <s v="&gt; 5 ani"/>
    <n v="0"/>
  </r>
  <r>
    <x v="29"/>
    <s v="Lungu"/>
    <s v="Vlad"/>
    <s v="M"/>
    <d v="1996-06-16T00:00:00"/>
    <d v="2022-11-23T00:00:00"/>
    <n v="20"/>
    <s v="Key Account Manager"/>
    <x v="3"/>
    <s v="Iași"/>
    <s v="Full-time"/>
    <n v="3450"/>
    <s v="Activ"/>
    <m/>
    <m/>
    <s v="vlad.lungu156@technova.ro"/>
    <x v="4"/>
    <n v="29"/>
    <n v="3.1"/>
    <s v="3–5 ani"/>
    <n v="0"/>
  </r>
  <r>
    <x v="30"/>
    <s v="Gheorghe"/>
    <s v="Alexandra"/>
    <s v="F"/>
    <d v="1983-09-08T00:00:00"/>
    <d v="2021-09-20T00:00:00"/>
    <n v="60"/>
    <s v="Specialist Suport"/>
    <x v="3"/>
    <s v="Iași"/>
    <s v="Full-time"/>
    <n v="2800"/>
    <s v="Activ"/>
    <m/>
    <m/>
    <s v="alexandra.gheorghe261@technova.ro"/>
    <x v="0"/>
    <n v="42"/>
    <n v="4.3"/>
    <s v="3–5 ani"/>
    <n v="0"/>
  </r>
  <r>
    <x v="31"/>
    <s v="Popescu"/>
    <s v="Florin"/>
    <s v="M"/>
    <d v="1987-01-23T00:00:00"/>
    <d v="2017-01-29T00:00:00"/>
    <n v="10"/>
    <s v="Programator"/>
    <x v="3"/>
    <s v="București"/>
    <s v="Full-time"/>
    <n v="5750"/>
    <s v="Activ"/>
    <m/>
    <m/>
    <s v="florin.popescu379@technova.ro"/>
    <x v="2"/>
    <n v="38"/>
    <n v="8.9"/>
    <s v="&gt; 5 ani"/>
    <n v="0"/>
  </r>
  <r>
    <x v="32"/>
    <s v="Nistor"/>
    <s v="Roxana"/>
    <s v="F"/>
    <d v="1981-11-19T00:00:00"/>
    <d v="2023-02-11T00:00:00"/>
    <n v="70"/>
    <s v="Coordonator Logistică"/>
    <x v="3"/>
    <s v="Timișoara"/>
    <s v="Part-time"/>
    <n v="3100"/>
    <s v="Activ"/>
    <m/>
    <m/>
    <s v="roxana.nistor160@technova.ro"/>
    <x v="1"/>
    <n v="44"/>
    <n v="2.9"/>
    <s v="1–3 ani"/>
    <n v="0"/>
  </r>
  <r>
    <x v="33"/>
    <s v="Popa"/>
    <s v="Cristian"/>
    <s v="M"/>
    <d v="1995-08-07T00:00:00"/>
    <d v="2017-02-17T00:00:00"/>
    <n v="10"/>
    <s v="Tester QA"/>
    <x v="3"/>
    <s v="Cluj-Napoca"/>
    <s v="Full-time"/>
    <n v="5200"/>
    <s v="Activ"/>
    <m/>
    <m/>
    <s v="cristian.popa226@technova.ro"/>
    <x v="2"/>
    <n v="30"/>
    <n v="8.9"/>
    <s v="&gt; 5 ani"/>
    <n v="0"/>
  </r>
  <r>
    <x v="34"/>
    <s v="Neagu"/>
    <s v="Marius"/>
    <s v="M"/>
    <d v="1991-12-04T00:00:00"/>
    <d v="2017-12-02T00:00:00"/>
    <n v="10"/>
    <s v="Programator"/>
    <x v="2"/>
    <s v="București"/>
    <s v="Full-time"/>
    <n v="12350"/>
    <s v="Activ"/>
    <m/>
    <m/>
    <s v="marius.neagu464@technova.ro"/>
    <x v="2"/>
    <n v="34"/>
    <n v="8.1"/>
    <s v="&gt; 5 ani"/>
    <n v="0"/>
  </r>
  <r>
    <x v="35"/>
    <s v="Dinu"/>
    <s v="Vlad"/>
    <s v="M"/>
    <d v="1995-06-02T00:00:00"/>
    <d v="2017-07-12T00:00:00"/>
    <n v="60"/>
    <s v="Specialist Suport"/>
    <x v="1"/>
    <s v="Iași"/>
    <s v="Full-time"/>
    <n v="3900"/>
    <s v="Activ"/>
    <m/>
    <m/>
    <s v="vlad.dinu389@technova.ro"/>
    <x v="0"/>
    <n v="30"/>
    <n v="8.5"/>
    <s v="&gt; 5 ani"/>
    <n v="0"/>
  </r>
  <r>
    <x v="36"/>
    <s v="Nistor"/>
    <s v="Sorin"/>
    <s v="M"/>
    <d v="1985-07-28T00:00:00"/>
    <d v="2019-05-08T00:00:00"/>
    <n v="60"/>
    <s v="Specialist Suport"/>
    <x v="1"/>
    <s v="Iași"/>
    <s v="Full-time"/>
    <n v="4250"/>
    <s v="Activ"/>
    <m/>
    <m/>
    <s v="sorin.nistor339@technova.ro"/>
    <x v="0"/>
    <n v="40"/>
    <n v="6.6"/>
    <s v="&gt; 5 ani"/>
    <n v="0"/>
  </r>
  <r>
    <x v="37"/>
    <s v="Constantin"/>
    <s v="Mihai"/>
    <s v="M"/>
    <d v="1975-04-19T00:00:00"/>
    <d v="2020-03-18T00:00:00"/>
    <n v="50"/>
    <s v="Manager Financiar"/>
    <x v="0"/>
    <s v="Timișoara"/>
    <s v="Full-time"/>
    <n v="14050"/>
    <s v="Activ"/>
    <m/>
    <m/>
    <s v="mihai.constantin229@technova.ro"/>
    <x v="5"/>
    <n v="50"/>
    <n v="5.8"/>
    <s v="&gt; 5 ani"/>
    <n v="0"/>
  </r>
  <r>
    <x v="38"/>
    <s v="Oprea"/>
    <s v="Alexandru"/>
    <s v="M"/>
    <d v="1986-11-27T00:00:00"/>
    <d v="2024-11-04T00:00:00"/>
    <n v="20"/>
    <s v="Manager Vânzări"/>
    <x v="0"/>
    <s v="Iași"/>
    <s v="Full-time"/>
    <n v="9150"/>
    <s v="Activ"/>
    <m/>
    <m/>
    <s v="alexandru.oprea088@technova.ro"/>
    <x v="4"/>
    <n v="39"/>
    <n v="1.2"/>
    <s v="1–3 ani"/>
    <n v="0"/>
  </r>
  <r>
    <x v="39"/>
    <s v="Dinu"/>
    <s v="Ana"/>
    <s v="F"/>
    <d v="1993-07-11T00:00:00"/>
    <d v="2016-08-12T00:00:00"/>
    <n v="10"/>
    <s v="Tester QA"/>
    <x v="3"/>
    <s v="București"/>
    <s v="Full-time"/>
    <n v="6500"/>
    <s v="Activ"/>
    <m/>
    <m/>
    <s v="ana.dinu117@technova.ro"/>
    <x v="2"/>
    <n v="32"/>
    <n v="9.4"/>
    <s v="&gt; 5 ani"/>
    <n v="0"/>
  </r>
  <r>
    <x v="40"/>
    <s v="Tudor"/>
    <s v="Ana"/>
    <s v="F"/>
    <d v="1983-02-12T00:00:00"/>
    <d v="2022-06-12T00:00:00"/>
    <n v="10"/>
    <s v="DevOps Engineer"/>
    <x v="2"/>
    <s v="București"/>
    <s v="Full-time"/>
    <n v="12200"/>
    <s v="Activ"/>
    <m/>
    <m/>
    <s v="ana.tudor463@technova.ro"/>
    <x v="2"/>
    <n v="42"/>
    <n v="3.6"/>
    <s v="3–5 ani"/>
    <n v="0"/>
  </r>
  <r>
    <x v="41"/>
    <s v="Dumitru"/>
    <s v="Ionuț"/>
    <s v="M"/>
    <d v="1995-11-22T00:00:00"/>
    <d v="2021-12-17T00:00:00"/>
    <n v="50"/>
    <s v="Contabil"/>
    <x v="3"/>
    <s v="București"/>
    <s v="Full-time"/>
    <n v="4750"/>
    <s v="Plecat"/>
    <d v="2022-12-05T00:00:00"/>
    <s v="Pensionare"/>
    <s v="ionut.dumitru408@technova.ro"/>
    <x v="5"/>
    <n v="30"/>
    <n v="1"/>
    <s v="1–3 ani"/>
    <n v="1"/>
  </r>
  <r>
    <x v="42"/>
    <s v="Dinu"/>
    <s v="Roxana"/>
    <s v="F"/>
    <d v="1989-04-27T00:00:00"/>
    <d v="2020-11-24T00:00:00"/>
    <n v="20"/>
    <s v="Key Account Manager"/>
    <x v="2"/>
    <s v="București"/>
    <s v="Full-time"/>
    <n v="8300"/>
    <s v="Activ"/>
    <m/>
    <m/>
    <s v="roxana.dinu394@technova.ro"/>
    <x v="4"/>
    <n v="36"/>
    <n v="5.0999999999999996"/>
    <s v="&gt; 5 ani"/>
    <n v="0"/>
  </r>
  <r>
    <x v="43"/>
    <s v="Barbu"/>
    <s v="Andrei"/>
    <s v="M"/>
    <d v="1995-06-19T00:00:00"/>
    <d v="2017-07-04T00:00:00"/>
    <n v="70"/>
    <s v="Coordonator Logistică"/>
    <x v="1"/>
    <s v="Timișoara"/>
    <s v="Full-time"/>
    <n v="5950"/>
    <s v="Activ"/>
    <m/>
    <m/>
    <s v="andrei.barbu154@technova.ro"/>
    <x v="1"/>
    <n v="30"/>
    <n v="8.5"/>
    <s v="&gt; 5 ani"/>
    <n v="0"/>
  </r>
  <r>
    <x v="44"/>
    <s v="Ciobanu"/>
    <s v="Bogdan"/>
    <s v="M"/>
    <d v="1984-06-02T00:00:00"/>
    <d v="2019-05-31T00:00:00"/>
    <n v="80"/>
    <s v="Consilier Juridic"/>
    <x v="1"/>
    <s v="București"/>
    <s v="Part-time"/>
    <n v="7450"/>
    <s v="Activ"/>
    <m/>
    <m/>
    <s v="bogdan.ciobanu138@technova.ro"/>
    <x v="7"/>
    <n v="41"/>
    <n v="6.6"/>
    <s v="&gt; 5 ani"/>
    <n v="0"/>
  </r>
  <r>
    <x v="45"/>
    <s v="Ionescu"/>
    <s v="Denisa"/>
    <s v="F"/>
    <d v="1994-11-05T00:00:00"/>
    <d v="2025-08-22T00:00:00"/>
    <n v="70"/>
    <s v="Specialist Operațiuni"/>
    <x v="2"/>
    <s v="Timișoara"/>
    <s v="Full-time"/>
    <n v="7500"/>
    <s v="Activ"/>
    <m/>
    <m/>
    <s v="denisa.ionescu128@technova.ro"/>
    <x v="1"/>
    <n v="31"/>
    <n v="0.4"/>
    <s v="&lt; 1 an"/>
    <n v="0"/>
  </r>
  <r>
    <x v="46"/>
    <s v="Marin"/>
    <s v="Oana"/>
    <s v="F"/>
    <d v="1985-04-22T00:00:00"/>
    <d v="2024-03-13T00:00:00"/>
    <n v="10"/>
    <s v="Programator"/>
    <x v="1"/>
    <s v="Cluj-Napoca"/>
    <s v="Full-time"/>
    <n v="8500"/>
    <s v="Activ"/>
    <m/>
    <m/>
    <m/>
    <x v="2"/>
    <n v="40"/>
    <n v="1.8"/>
    <s v="1–3 ani"/>
    <n v="0"/>
  </r>
  <r>
    <x v="47"/>
    <s v="Cozma"/>
    <s v="Alexandru"/>
    <s v="M"/>
    <d v="1993-06-14T00:00:00"/>
    <d v="2021-08-17T00:00:00"/>
    <n v="10"/>
    <s v="Tester QA"/>
    <x v="3"/>
    <s v="București"/>
    <s v="Full-time"/>
    <n v="6650"/>
    <s v="Activ"/>
    <m/>
    <m/>
    <s v="alexandru.cozma127@technova.ro"/>
    <x v="2"/>
    <n v="32"/>
    <n v="4.4000000000000004"/>
    <s v="3–5 ani"/>
    <n v="0"/>
  </r>
  <r>
    <x v="48"/>
    <s v="Lungu"/>
    <s v="Radu"/>
    <s v="M"/>
    <d v="1987-08-06T00:00:00"/>
    <d v="2020-04-29T00:00:00"/>
    <n v="70"/>
    <s v="Manager Operațiuni"/>
    <x v="0"/>
    <s v="Timișoara"/>
    <s v="Full-time"/>
    <n v="10050"/>
    <s v="Plecat"/>
    <d v="2021-03-14T00:00:00"/>
    <s v="Salariu mai bun în altă parte"/>
    <s v="radu.lungu162@technova.ro"/>
    <x v="1"/>
    <n v="38"/>
    <n v="0.9"/>
    <s v="&lt; 1 an"/>
    <n v="1"/>
  </r>
  <r>
    <x v="49"/>
    <s v="Popescu"/>
    <s v="Ionuț"/>
    <s v="M"/>
    <d v="1996-08-05T00:00:00"/>
    <d v="2023-01-26T00:00:00"/>
    <n v="70"/>
    <s v="Coordonator Logistică"/>
    <x v="2"/>
    <s v="Timișoara"/>
    <s v="Full-time"/>
    <n v="9150"/>
    <s v="Activ"/>
    <m/>
    <m/>
    <s v="ionut.popescu215@technova.ro"/>
    <x v="1"/>
    <n v="29"/>
    <n v="2.9"/>
    <s v="1–3 ani"/>
    <n v="0"/>
  </r>
  <r>
    <x v="50"/>
    <s v="Tudor"/>
    <s v="Denisa"/>
    <s v="F"/>
    <d v="1989-03-24T00:00:00"/>
    <d v="2021-04-19T00:00:00"/>
    <n v="20"/>
    <s v="Key Account Manager"/>
    <x v="1"/>
    <s v="Cluj-Napoca"/>
    <s v="Full-time"/>
    <n v="5650"/>
    <s v="Activ"/>
    <m/>
    <m/>
    <s v="denisa.tudor230@technova.ro"/>
    <x v="4"/>
    <n v="36"/>
    <n v="4.7"/>
    <s v="3–5 ani"/>
    <n v="0"/>
  </r>
  <r>
    <x v="51"/>
    <s v="Dobre"/>
    <s v="Ioana"/>
    <s v="F"/>
    <d v="1991-09-10T00:00:00"/>
    <d v="2021-07-05T00:00:00"/>
    <n v="10"/>
    <s v="DevOps Engineer"/>
    <x v="3"/>
    <s v="București"/>
    <s v="Full-time"/>
    <n v="6250"/>
    <s v="Activ"/>
    <m/>
    <m/>
    <s v="ioana.dobre352@technova.ro"/>
    <x v="2"/>
    <n v="34"/>
    <n v="4.5"/>
    <s v="3–5 ani"/>
    <n v="0"/>
  </r>
  <r>
    <x v="52"/>
    <s v="Ciobanu"/>
    <s v="Ioana"/>
    <s v="F"/>
    <d v="1984-11-18T00:00:00"/>
    <d v="2020-08-23T00:00:00"/>
    <n v="40"/>
    <s v="Recruiter"/>
    <x v="2"/>
    <s v="București"/>
    <s v="Full-time"/>
    <n v="8150"/>
    <s v="Activ"/>
    <m/>
    <m/>
    <s v="ioana.ciobanu335@technova.ro"/>
    <x v="6"/>
    <n v="41"/>
    <n v="5.4"/>
    <s v="&gt; 5 ani"/>
    <n v="0"/>
  </r>
  <r>
    <x v="53"/>
    <s v="Popa"/>
    <s v="Simona"/>
    <s v="F"/>
    <d v="1993-02-01T00:00:00"/>
    <d v="2016-02-19T00:00:00"/>
    <n v="10"/>
    <s v="DevOps Engineer"/>
    <x v="3"/>
    <s v="București"/>
    <s v="Full-time"/>
    <n v="4850"/>
    <s v="Activ"/>
    <m/>
    <m/>
    <s v="simona.popa017@technova.ro"/>
    <x v="2"/>
    <n v="32"/>
    <n v="9.9"/>
    <s v="&gt; 5 ani"/>
    <n v="0"/>
  </r>
  <r>
    <x v="54"/>
    <s v="Voicu"/>
    <s v="Florin"/>
    <s v="M"/>
    <d v="1974-03-26T00:00:00"/>
    <d v="2024-03-12T00:00:00"/>
    <n v="70"/>
    <s v="Coordonator Logistică"/>
    <x v="2"/>
    <s v="Timișoara"/>
    <s v="Part-time"/>
    <n v="7750"/>
    <s v="Plecat"/>
    <d v="2025-08-03T00:00:00"/>
    <s v="Salariu mai bun în altă parte"/>
    <s v="florin.voicu015@technova.ro"/>
    <x v="1"/>
    <n v="51"/>
    <n v="1.4"/>
    <s v="1–3 ani"/>
    <n v="1"/>
  </r>
  <r>
    <x v="55"/>
    <s v="Stan"/>
    <s v="Ana"/>
    <s v="F"/>
    <d v="1987-04-23T00:00:00"/>
    <d v="2023-02-09T00:00:00"/>
    <n v="70"/>
    <s v="Coordonator Logistică"/>
    <x v="1"/>
    <s v="București"/>
    <s v="Full-time"/>
    <n v="5250"/>
    <s v="Plecat"/>
    <d v="2023-07-24T00:00:00"/>
    <s v="Lipsa oportunităților de promovare"/>
    <s v="ana.stan041@technova.ro"/>
    <x v="1"/>
    <n v="38"/>
    <n v="0.5"/>
    <s v="&lt; 1 an"/>
    <n v="1"/>
  </r>
  <r>
    <x v="56"/>
    <s v="Florea"/>
    <s v="Cristina"/>
    <s v="F"/>
    <d v="1993-09-15T00:00:00"/>
    <d v="2025-01-29T00:00:00"/>
    <n v="10"/>
    <s v="DevOps Engineer"/>
    <x v="2"/>
    <s v="București"/>
    <s v="Full-time"/>
    <n v="12000"/>
    <s v="Activ"/>
    <m/>
    <m/>
    <s v="cristina.florea113@technova.ro"/>
    <x v="2"/>
    <n v="32"/>
    <n v="0.9"/>
    <s v="&lt; 1 an"/>
    <n v="0"/>
  </r>
  <r>
    <x v="57"/>
    <s v="Surdu"/>
    <s v="Roxana"/>
    <s v="F"/>
    <d v="1978-09-12T00:00:00"/>
    <d v="2023-07-01T00:00:00"/>
    <n v="60"/>
    <s v="Operator Call Center"/>
    <x v="2"/>
    <s v="Iași"/>
    <s v="Full-time"/>
    <n v="6050"/>
    <s v="Activ"/>
    <m/>
    <m/>
    <s v="roxana.surdu052@technova.ro"/>
    <x v="0"/>
    <n v="47"/>
    <n v="2.5"/>
    <s v="1–3 ani"/>
    <n v="0"/>
  </r>
  <r>
    <x v="58"/>
    <s v="Munteanu"/>
    <s v="Daniel"/>
    <s v="M"/>
    <d v="1987-06-20T00:00:00"/>
    <d v="2019-12-26T00:00:00"/>
    <n v="80"/>
    <s v="Consilier Juridic"/>
    <x v="1"/>
    <s v="București"/>
    <s v="Full-time"/>
    <n v="7600"/>
    <s v="Activ"/>
    <m/>
    <m/>
    <s v="daniel.munteanu211@technova.ro"/>
    <x v="7"/>
    <n v="38"/>
    <n v="6"/>
    <s v="&gt; 5 ani"/>
    <n v="0"/>
  </r>
  <r>
    <x v="59"/>
    <s v="Stan"/>
    <s v="Ioana"/>
    <s v="F"/>
    <d v="1982-04-10T00:00:00"/>
    <d v="2021-03-16T00:00:00"/>
    <n v="10"/>
    <s v="DevOps Engineer"/>
    <x v="1"/>
    <s v="București"/>
    <s v="Full-time"/>
    <n v="7650"/>
    <s v="Activ"/>
    <m/>
    <m/>
    <s v="ioana.stan447@technova.ro"/>
    <x v="2"/>
    <n v="43"/>
    <n v="4.8"/>
    <s v="3–5 ani"/>
    <n v="0"/>
  </r>
  <r>
    <x v="60"/>
    <s v="Ciobanu"/>
    <s v="Cătălin"/>
    <s v="M"/>
    <d v="1977-02-15T00:00:00"/>
    <d v="2024-02-18T00:00:00"/>
    <n v="50"/>
    <s v="Manager Financiar"/>
    <x v="0"/>
    <s v="Iași"/>
    <s v="Full-time"/>
    <n v="12350"/>
    <s v="Activ"/>
    <m/>
    <m/>
    <s v="catalin.ciobanu044@technova.ro"/>
    <x v="5"/>
    <n v="48"/>
    <n v="1.9"/>
    <s v="1–3 ani"/>
    <n v="0"/>
  </r>
  <r>
    <x v="61"/>
    <s v="Tudor"/>
    <s v="Cristian"/>
    <s v="M"/>
    <d v="1981-10-18T00:00:00"/>
    <d v="2016-09-17T00:00:00"/>
    <n v="60"/>
    <s v="Operator Call Center"/>
    <x v="2"/>
    <s v="Iași"/>
    <s v="Full-time"/>
    <n v="6900"/>
    <s v="Plecat"/>
    <d v="2020-08-03T00:00:00"/>
    <s v="Echilibru viață-muncă"/>
    <s v="cristian.tudor291@technova.ro"/>
    <x v="0"/>
    <n v="44"/>
    <n v="3.9"/>
    <s v="3–5 ani"/>
    <n v="1"/>
  </r>
  <r>
    <x v="62"/>
    <s v="Rusu"/>
    <s v="Ionuț"/>
    <s v="M"/>
    <d v="1993-01-05T00:00:00"/>
    <d v="2016-04-02T00:00:00"/>
    <n v="10"/>
    <s v="Programator"/>
    <x v="3"/>
    <s v="București"/>
    <s v="Full-time"/>
    <n v="7500"/>
    <s v="Activ"/>
    <m/>
    <m/>
    <s v="ionut.rusu287@technova.ro"/>
    <x v="2"/>
    <n v="32"/>
    <n v="9.6999999999999993"/>
    <s v="&gt; 5 ani"/>
    <n v="0"/>
  </r>
  <r>
    <x v="63"/>
    <s v="Oprea"/>
    <s v="Ionuț"/>
    <s v="M"/>
    <d v="1989-11-06T00:00:00"/>
    <d v="2020-05-07T00:00:00"/>
    <n v="50"/>
    <s v="Analist Financiar"/>
    <x v="2"/>
    <s v="Iași"/>
    <s v="Full-time"/>
    <n v="9400"/>
    <s v="Plecat"/>
    <d v="2022-03-06T00:00:00"/>
    <s v="Nespecificat"/>
    <s v="ionut.oprea329@technova.ro"/>
    <x v="5"/>
    <n v="36"/>
    <n v="1.8"/>
    <s v="1–3 ani"/>
    <n v="1"/>
  </r>
  <r>
    <x v="64"/>
    <s v="Dobre"/>
    <s v="Radu"/>
    <s v="M"/>
    <d v="1980-08-15T00:00:00"/>
    <d v="2016-10-26T00:00:00"/>
    <n v="60"/>
    <s v="Operator Call Center"/>
    <x v="2"/>
    <s v="București"/>
    <s v="Part-time"/>
    <n v="6850"/>
    <s v="Plecat"/>
    <d v="2018-01-20T00:00:00"/>
    <s v="Relocare"/>
    <s v="radu.dobre244@technova.ro"/>
    <x v="0"/>
    <n v="45"/>
    <n v="1.2"/>
    <s v="1–3 ani"/>
    <n v="1"/>
  </r>
  <r>
    <x v="65"/>
    <s v="Popa"/>
    <s v="Cristian"/>
    <s v="M"/>
    <d v="1986-01-09T00:00:00"/>
    <d v="2023-04-30T00:00:00"/>
    <n v="50"/>
    <s v="Analist Financiar"/>
    <x v="1"/>
    <s v="Iași"/>
    <s v="Full-time"/>
    <n v="6150"/>
    <s v="Activ"/>
    <m/>
    <m/>
    <s v="cristian.popa194@technova.ro"/>
    <x v="5"/>
    <n v="39"/>
    <n v="2.7"/>
    <s v="1–3 ani"/>
    <n v="0"/>
  </r>
  <r>
    <x v="66"/>
    <s v="Matei"/>
    <s v="Ion"/>
    <s v="M"/>
    <d v="1996-08-28T00:00:00"/>
    <d v="2021-10-05T00:00:00"/>
    <n v="10"/>
    <s v="Tester QA"/>
    <x v="3"/>
    <s v="București"/>
    <s v="Full-time"/>
    <n v="6200"/>
    <s v="Activ"/>
    <m/>
    <m/>
    <s v="ion.matei067@technova.ro"/>
    <x v="2"/>
    <n v="29"/>
    <n v="4.2"/>
    <s v="3–5 ani"/>
    <n v="0"/>
  </r>
  <r>
    <x v="67"/>
    <s v="Surdu"/>
    <s v="Radu"/>
    <s v="M"/>
    <d v="1980-11-02T00:00:00"/>
    <d v="2024-11-03T00:00:00"/>
    <n v="60"/>
    <s v="Specialist Suport"/>
    <x v="3"/>
    <s v="Cluj-Napoca"/>
    <s v="Full-time"/>
    <n v="2650"/>
    <s v="Activ"/>
    <m/>
    <m/>
    <s v="radu.surdu205@technova.ro"/>
    <x v="0"/>
    <n v="45"/>
    <n v="1.2"/>
    <s v="1–3 ani"/>
    <n v="0"/>
  </r>
  <r>
    <x v="68"/>
    <s v="Dobre"/>
    <s v="Roxana"/>
    <s v="F"/>
    <d v="1986-02-24T00:00:00"/>
    <d v="2025-01-11T00:00:00"/>
    <n v="60"/>
    <s v="Specialist Suport"/>
    <x v="2"/>
    <s v="Iași"/>
    <s v="Full-time"/>
    <n v="5900"/>
    <s v="Plecat"/>
    <d v="2025-08-07T00:00:00"/>
    <s v="Lipsa oportunităților de promovare"/>
    <s v="roxana.dobre270@technova.ro"/>
    <x v="0"/>
    <n v="39"/>
    <n v="0.6"/>
    <s v="&lt; 1 an"/>
    <n v="1"/>
  </r>
  <r>
    <x v="69"/>
    <s v="Dinu"/>
    <s v="Elena"/>
    <s v="F"/>
    <d v="1978-01-11T00:00:00"/>
    <d v="2017-06-03T00:00:00"/>
    <n v="70"/>
    <s v="Manager Operațiuni"/>
    <x v="0"/>
    <s v="București"/>
    <s v="Part-time"/>
    <n v="11300"/>
    <s v="Activ"/>
    <m/>
    <m/>
    <s v="elena.dinu440@technova.ro"/>
    <x v="1"/>
    <n v="47"/>
    <n v="8.6"/>
    <s v="&gt; 5 ani"/>
    <n v="0"/>
  </r>
  <r>
    <x v="70"/>
    <s v="Oprea"/>
    <s v="Irina"/>
    <s v="F"/>
    <d v="1977-05-27T00:00:00"/>
    <d v="2022-05-10T00:00:00"/>
    <n v="60"/>
    <s v="Specialist Suport"/>
    <x v="1"/>
    <s v="Iași"/>
    <s v="Part-time"/>
    <n v="4200"/>
    <s v="Activ"/>
    <m/>
    <m/>
    <s v="irina.oprea306@technova.ro"/>
    <x v="0"/>
    <n v="48"/>
    <n v="3.6"/>
    <s v="3–5 ani"/>
    <n v="0"/>
  </r>
  <r>
    <x v="71"/>
    <s v="Nistor"/>
    <s v="Irina"/>
    <s v="F"/>
    <d v="1984-11-05T00:00:00"/>
    <d v="2016-08-27T00:00:00"/>
    <n v="20"/>
    <s v="Agent Vânzări"/>
    <x v="3"/>
    <s v="București"/>
    <s v="Full-time"/>
    <n v="3600"/>
    <s v="Activ"/>
    <m/>
    <m/>
    <s v="irina.nistor016@technova.ro"/>
    <x v="4"/>
    <n v="41"/>
    <n v="9.3000000000000007"/>
    <s v="&gt; 5 ani"/>
    <n v="0"/>
  </r>
  <r>
    <x v="72"/>
    <s v="Matei"/>
    <s v="Ionuț"/>
    <s v="M"/>
    <d v="1978-01-24T00:00:00"/>
    <d v="2019-05-17T00:00:00"/>
    <n v="10"/>
    <s v="Tester QA"/>
    <x v="2"/>
    <s v="București"/>
    <s v="Full-time"/>
    <n v="14200"/>
    <s v="Plecat"/>
    <d v="2022-02-23T00:00:00"/>
    <s v="Relația cu managerul"/>
    <s v="ionut.matei140@technova.ro"/>
    <x v="2"/>
    <n v="47"/>
    <n v="2.8"/>
    <s v="1–3 ani"/>
    <n v="1"/>
  </r>
  <r>
    <x v="73"/>
    <s v="Ene"/>
    <s v="Bogdan"/>
    <s v="M"/>
    <d v="1976-09-15T00:00:00"/>
    <d v="2017-01-01T00:00:00"/>
    <n v="70"/>
    <s v="Coordonator Logistică"/>
    <x v="2"/>
    <s v="Timișoara"/>
    <s v="Full-time"/>
    <n v="8150"/>
    <s v="Activ"/>
    <m/>
    <m/>
    <s v="bogdan.ene102@technova.ro"/>
    <x v="1"/>
    <n v="49"/>
    <n v="9"/>
    <s v="&gt; 5 ani"/>
    <n v="0"/>
  </r>
  <r>
    <x v="74"/>
    <s v="Cozma"/>
    <s v="Raluca"/>
    <s v="F"/>
    <d v="1990-07-11T00:00:00"/>
    <d v="2018-01-24T00:00:00"/>
    <n v="70"/>
    <s v="Coordonator Logistică"/>
    <x v="3"/>
    <s v="Timișoara"/>
    <s v="Full-time"/>
    <n v="3650"/>
    <s v="Activ"/>
    <m/>
    <m/>
    <s v="raluca.cozma131@technova.ro"/>
    <x v="1"/>
    <n v="35"/>
    <n v="7.9"/>
    <s v="&gt; 5 ani"/>
    <n v="0"/>
  </r>
  <r>
    <x v="75"/>
    <s v="Dumitru"/>
    <s v="Oana"/>
    <s v="F"/>
    <d v="1997-01-27T00:00:00"/>
    <d v="2017-05-03T00:00:00"/>
    <n v="10"/>
    <s v="Programator"/>
    <x v="3"/>
    <s v="București"/>
    <s v="Full-time"/>
    <n v="6400"/>
    <s v="Activ"/>
    <m/>
    <m/>
    <s v="oana.dumitru359@technova.ro"/>
    <x v="2"/>
    <n v="28"/>
    <n v="8.6999999999999993"/>
    <s v="&gt; 5 ani"/>
    <n v="0"/>
  </r>
  <r>
    <x v="76"/>
    <s v="Munteanu"/>
    <s v="Ioana"/>
    <s v="F"/>
    <d v="1982-10-16T00:00:00"/>
    <d v="2021-02-28T00:00:00"/>
    <n v="30"/>
    <s v="Specialist Marketing"/>
    <x v="1"/>
    <s v="București"/>
    <s v="Full-time"/>
    <n v="5750"/>
    <s v="Activ"/>
    <m/>
    <m/>
    <s v="ioana.munteanu068@technova.ro"/>
    <x v="3"/>
    <n v="43"/>
    <n v="4.8"/>
    <s v="3–5 ani"/>
    <n v="0"/>
  </r>
  <r>
    <x v="77"/>
    <s v="Munteanu"/>
    <s v="Simona"/>
    <s v="F"/>
    <d v="1998-02-20T00:00:00"/>
    <d v="2020-01-25T00:00:00"/>
    <n v="30"/>
    <s v="Content Creator"/>
    <x v="3"/>
    <s v="Cluj-Napoca"/>
    <s v="Full-time"/>
    <n v="3550"/>
    <s v="Plecat"/>
    <d v="2021-08-20T00:00:00"/>
    <s v="Relația cu managerul"/>
    <s v="simona.munteanu204@technova.ro"/>
    <x v="3"/>
    <n v="27"/>
    <n v="1.6"/>
    <s v="1–3 ani"/>
    <n v="1"/>
  </r>
  <r>
    <x v="78"/>
    <s v="Dinu"/>
    <s v="Denisa"/>
    <s v="F"/>
    <d v="1993-10-01T00:00:00"/>
    <d v="2016-08-07T00:00:00"/>
    <n v="10"/>
    <s v="Tester QA"/>
    <x v="2"/>
    <s v="București"/>
    <s v="Full-time"/>
    <n v="12650"/>
    <s v="Activ"/>
    <m/>
    <m/>
    <m/>
    <x v="2"/>
    <n v="32"/>
    <n v="9.4"/>
    <s v="&gt; 5 ani"/>
    <n v="0"/>
  </r>
  <r>
    <x v="79"/>
    <s v="Munteanu"/>
    <s v="Oana"/>
    <s v="F"/>
    <d v="1990-03-18T00:00:00"/>
    <d v="2024-11-05T00:00:00"/>
    <n v="50"/>
    <s v="Analist Financiar"/>
    <x v="3"/>
    <s v="Iași"/>
    <s v="Full-time"/>
    <n v="4150"/>
    <s v="Plecat"/>
    <d v="2025-05-09T00:00:00"/>
    <s v="Echilibru viață-muncă"/>
    <s v="oana.munteanu454@technova.ro"/>
    <x v="5"/>
    <n v="35"/>
    <n v="0.5"/>
    <s v="&lt; 1 an"/>
    <n v="1"/>
  </r>
  <r>
    <x v="80"/>
    <s v="Florea"/>
    <s v="Gabriela"/>
    <s v="F"/>
    <d v="1991-11-25T00:00:00"/>
    <d v="2020-01-13T00:00:00"/>
    <n v="30"/>
    <s v="Specialist Marketing"/>
    <x v="3"/>
    <s v="Cluj-Napoca"/>
    <s v="Full-time"/>
    <n v="4250"/>
    <s v="Activ"/>
    <m/>
    <m/>
    <s v="gabriela.florea180@technova.ro"/>
    <x v="3"/>
    <n v="34"/>
    <n v="6"/>
    <s v="&gt; 5 ani"/>
    <n v="0"/>
  </r>
  <r>
    <x v="81"/>
    <s v="Sandu"/>
    <s v="Mihaela"/>
    <s v="F"/>
    <d v="1986-09-23T00:00:00"/>
    <d v="2017-06-10T00:00:00"/>
    <n v="40"/>
    <s v="Specialist HR"/>
    <x v="2"/>
    <s v="București"/>
    <s v="Full-time"/>
    <n v="8350"/>
    <s v="Activ"/>
    <m/>
    <m/>
    <s v="mihaela.sandu302@technova.ro"/>
    <x v="6"/>
    <n v="39"/>
    <n v="8.6"/>
    <s v="&gt; 5 ani"/>
    <n v="0"/>
  </r>
  <r>
    <x v="82"/>
    <s v="Popescu"/>
    <s v="Alexandru"/>
    <s v="M"/>
    <d v="1987-03-28T00:00:00"/>
    <d v="2018-01-30T00:00:00"/>
    <n v="60"/>
    <s v="Specialist Suport"/>
    <x v="1"/>
    <s v="București"/>
    <s v="Full-time"/>
    <n v="3550"/>
    <s v="Activ"/>
    <m/>
    <m/>
    <s v="alexandru.popescu108@technova.ro"/>
    <x v="0"/>
    <n v="38"/>
    <n v="7.9"/>
    <s v="&gt; 5 ani"/>
    <n v="0"/>
  </r>
  <r>
    <x v="83"/>
    <s v="Tudor"/>
    <s v="Ioana"/>
    <s v="F"/>
    <d v="1987-06-09T00:00:00"/>
    <d v="2025-06-26T00:00:00"/>
    <n v="10"/>
    <s v="DevOps Engineer"/>
    <x v="1"/>
    <s v="București"/>
    <s v="Full-time"/>
    <n v="8800"/>
    <s v="Plecat"/>
    <d v="2025-12-28T00:00:00"/>
    <s v="Salariu mai bun în altă parte"/>
    <s v="ioana.tudor103@technova.ro"/>
    <x v="2"/>
    <n v="38"/>
    <n v="0.5"/>
    <s v="&lt; 1 an"/>
    <n v="1"/>
  </r>
  <r>
    <x v="84"/>
    <s v="Cozma"/>
    <s v="Ana"/>
    <s v="F"/>
    <d v="1985-09-26T00:00:00"/>
    <d v="2016-10-19T00:00:00"/>
    <n v="40"/>
    <s v="Recruiter"/>
    <x v="1"/>
    <s v="București"/>
    <s v="Full-time"/>
    <n v="4850"/>
    <s v="Activ"/>
    <m/>
    <m/>
    <s v="ana.cozma147@technova.ro"/>
    <x v="6"/>
    <n v="40"/>
    <n v="9.1999999999999993"/>
    <s v="&gt; 5 ani"/>
    <n v="0"/>
  </r>
  <r>
    <x v="85"/>
    <s v="Toma"/>
    <s v="Adrian"/>
    <s v="M"/>
    <d v="1979-07-02T00:00:00"/>
    <d v="2022-07-15T00:00:00"/>
    <n v="10"/>
    <s v="Analist IT"/>
    <x v="1"/>
    <s v="Timișoara"/>
    <s v="Full-time"/>
    <n v="7300"/>
    <s v="Activ"/>
    <m/>
    <m/>
    <s v="adrian.toma297@technova.ro"/>
    <x v="2"/>
    <n v="46"/>
    <n v="3.5"/>
    <s v="3–5 ani"/>
    <n v="0"/>
  </r>
  <r>
    <x v="86"/>
    <s v="Popa"/>
    <s v="Radu"/>
    <s v="M"/>
    <d v="1997-09-01T00:00:00"/>
    <d v="2021-09-04T00:00:00"/>
    <n v="10"/>
    <s v="Programator"/>
    <x v="3"/>
    <s v="București"/>
    <s v="Full-time"/>
    <n v="5650"/>
    <s v="Activ"/>
    <m/>
    <m/>
    <s v="radu.popa100@technova.ro"/>
    <x v="2"/>
    <n v="28"/>
    <n v="4.3"/>
    <s v="3–5 ani"/>
    <n v="0"/>
  </r>
  <r>
    <x v="87"/>
    <s v="Cozma"/>
    <s v="Ioana"/>
    <s v="F"/>
    <d v="1985-09-15T00:00:00"/>
    <d v="2017-05-21T00:00:00"/>
    <n v="70"/>
    <s v="Coordonator Logistică"/>
    <x v="1"/>
    <s v="Timișoara"/>
    <s v="Full-time"/>
    <n v="5200"/>
    <s v="Activ"/>
    <m/>
    <m/>
    <s v="ioana.cozma445@technova.ro"/>
    <x v="1"/>
    <n v="40"/>
    <n v="8.6"/>
    <s v="&gt; 5 ani"/>
    <n v="0"/>
  </r>
  <r>
    <x v="88"/>
    <s v="Preda"/>
    <s v="Ion"/>
    <s v="M"/>
    <d v="1991-02-12T00:00:00"/>
    <d v="2018-07-04T00:00:00"/>
    <n v="40"/>
    <s v="Recruiter"/>
    <x v="1"/>
    <s v="București"/>
    <s v="Full-time"/>
    <n v="5950"/>
    <s v="Activ"/>
    <m/>
    <m/>
    <s v="ion.preda178@technova.ro"/>
    <x v="6"/>
    <n v="34"/>
    <n v="7.5"/>
    <s v="&gt; 5 ani"/>
    <n v="0"/>
  </r>
  <r>
    <x v="89"/>
    <s v="Dinu"/>
    <s v="Marius"/>
    <s v="M"/>
    <d v="1996-01-02T00:00:00"/>
    <d v="2020-09-05T00:00:00"/>
    <n v="10"/>
    <s v="DevOps Engineer"/>
    <x v="3"/>
    <s v="București"/>
    <s v="Full-time"/>
    <n v="5950"/>
    <s v="Activ"/>
    <m/>
    <m/>
    <s v="marius.dinu256@technova.ro"/>
    <x v="2"/>
    <n v="29"/>
    <n v="5.3"/>
    <s v="&gt; 5 ani"/>
    <n v="0"/>
  </r>
  <r>
    <x v="90"/>
    <s v="Popa"/>
    <s v="Robert"/>
    <s v="M"/>
    <d v="1979-06-08T00:00:00"/>
    <d v="2021-12-04T00:00:00"/>
    <n v="40"/>
    <s v="Specialist HR"/>
    <x v="2"/>
    <s v="Timișoara"/>
    <s v="Full-time"/>
    <n v="10000"/>
    <s v="Activ"/>
    <m/>
    <m/>
    <s v="robert.popa285@technova.ro"/>
    <x v="6"/>
    <n v="46"/>
    <n v="4.0999999999999996"/>
    <s v="3–5 ani"/>
    <n v="0"/>
  </r>
  <r>
    <x v="91"/>
    <s v="Matei"/>
    <s v="Adrian"/>
    <s v="M"/>
    <d v="1995-12-25T00:00:00"/>
    <d v="2016-01-06T00:00:00"/>
    <n v="20"/>
    <s v="Key Account Manager"/>
    <x v="2"/>
    <s v="București"/>
    <s v="Full-time"/>
    <n v="7400"/>
    <s v="Plecat"/>
    <d v="2020-11-02T00:00:00"/>
    <s v="Lipsa oportunităților de promovare"/>
    <s v="adrian.matei190@technova.ro"/>
    <x v="4"/>
    <n v="30"/>
    <n v="4.8"/>
    <s v="3–5 ani"/>
    <n v="1"/>
  </r>
  <r>
    <x v="92"/>
    <s v="Ene"/>
    <s v="George"/>
    <s v="M"/>
    <d v="1993-03-24T00:00:00"/>
    <d v="2024-03-23T00:00:00"/>
    <n v="10"/>
    <s v="DevOps Engineer"/>
    <x v="3"/>
    <s v="București"/>
    <s v="Full-time"/>
    <n v="6650"/>
    <s v="Plecat"/>
    <d v="2025-12-27T00:00:00"/>
    <s v="Salariu mai bun în altă parte"/>
    <s v="george.ene377@technova.ro"/>
    <x v="2"/>
    <n v="32"/>
    <n v="1.8"/>
    <s v="1–3 ani"/>
    <n v="1"/>
  </r>
  <r>
    <x v="93"/>
    <s v="Ionescu"/>
    <s v="Robert"/>
    <s v="M"/>
    <d v="1989-02-11T00:00:00"/>
    <d v="2022-06-27T00:00:00"/>
    <n v="20"/>
    <s v="Key Account Manager"/>
    <x v="1"/>
    <s v="București"/>
    <s v="Full-time"/>
    <n v="5000"/>
    <s v="Plecat"/>
    <d v="2023-03-29T00:00:00"/>
    <s v="Salariu mai bun în altă parte"/>
    <s v="robert.ionescu314@technova.ro"/>
    <x v="4"/>
    <n v="36"/>
    <n v="0.8"/>
    <s v="&lt; 1 an"/>
    <n v="1"/>
  </r>
  <r>
    <x v="94"/>
    <s v="Voicu"/>
    <s v="Roxana"/>
    <s v="F"/>
    <d v="1996-05-06T00:00:00"/>
    <d v="2017-11-27T00:00:00"/>
    <n v="10"/>
    <s v="Analist IT"/>
    <x v="1"/>
    <s v="București"/>
    <s v="Full-time"/>
    <n v="7800"/>
    <s v="Activ"/>
    <m/>
    <m/>
    <s v="roxana.voicu385@technova.ro"/>
    <x v="2"/>
    <n v="29"/>
    <n v="8.1"/>
    <s v="&gt; 5 ani"/>
    <n v="0"/>
  </r>
  <r>
    <x v="95"/>
    <s v="Barbu"/>
    <s v="Ionuț"/>
    <s v="M"/>
    <d v="1988-02-05T00:00:00"/>
    <d v="2018-09-11T00:00:00"/>
    <n v="20"/>
    <s v="Manager Vânzări"/>
    <x v="0"/>
    <s v="București"/>
    <s v="Full-time"/>
    <n v="9050"/>
    <s v="Activ"/>
    <m/>
    <m/>
    <s v="ionut.barbu305@technova.ro"/>
    <x v="4"/>
    <n v="37"/>
    <n v="7.3"/>
    <s v="&gt; 5 ani"/>
    <n v="0"/>
  </r>
  <r>
    <x v="96"/>
    <s v="Tudor"/>
    <s v="Andreea"/>
    <s v="F"/>
    <d v="1982-07-21T00:00:00"/>
    <d v="2021-06-11T00:00:00"/>
    <n v="30"/>
    <s v="Specialist Marketing"/>
    <x v="2"/>
    <s v="București"/>
    <s v="Full-time"/>
    <n v="9150"/>
    <s v="Plecat"/>
    <d v="2025-08-06T00:00:00"/>
    <s v="Relația cu managerul"/>
    <s v="andreea.tudor084@technova.ro"/>
    <x v="3"/>
    <n v="43"/>
    <n v="4.2"/>
    <s v="3–5 ani"/>
    <n v="1"/>
  </r>
  <r>
    <x v="97"/>
    <s v="Preda"/>
    <s v="Andreea"/>
    <s v="F"/>
    <d v="1994-02-20T00:00:00"/>
    <d v="2024-01-17T00:00:00"/>
    <n v="70"/>
    <s v="Coordonator Logistică"/>
    <x v="2"/>
    <s v="București"/>
    <s v="Full-time"/>
    <n v="7450"/>
    <s v="Activ"/>
    <m/>
    <m/>
    <s v="andreea.preda396@technova.ro"/>
    <x v="1"/>
    <n v="31"/>
    <n v="2"/>
    <s v="1–3 ani"/>
    <n v="0"/>
  </r>
  <r>
    <x v="98"/>
    <s v="Dinu"/>
    <s v="Mihaela"/>
    <s v="F"/>
    <d v="2000-04-01T00:00:00"/>
    <d v="2025-02-04T00:00:00"/>
    <n v="60"/>
    <s v="Operator Call Center"/>
    <x v="1"/>
    <s v="Iași"/>
    <s v="Full-time"/>
    <n v="4050"/>
    <s v="Activ"/>
    <m/>
    <m/>
    <s v="mihaela.dinu358@technova.ro"/>
    <x v="0"/>
    <n v="25"/>
    <n v="0.9"/>
    <s v="&lt; 1 an"/>
    <n v="0"/>
  </r>
  <r>
    <x v="99"/>
    <s v="Stoica"/>
    <s v="Denisa"/>
    <s v="F"/>
    <d v="1989-01-09T00:00:00"/>
    <d v="2022-11-23T00:00:00"/>
    <n v="30"/>
    <s v="Content Creator"/>
    <x v="3"/>
    <s v="Cluj-Napoca"/>
    <s v="Full-time"/>
    <n v="4200"/>
    <s v="Activ"/>
    <m/>
    <m/>
    <s v="denisa.stoica062@technova.ro"/>
    <x v="3"/>
    <n v="36"/>
    <n v="3.1"/>
    <s v="3–5 ani"/>
    <n v="0"/>
  </r>
  <r>
    <x v="100"/>
    <s v="Oprea"/>
    <s v="Irina"/>
    <s v="F"/>
    <d v="1975-02-03T00:00:00"/>
    <d v="2017-12-26T00:00:00"/>
    <n v="10"/>
    <s v="DevOps Engineer"/>
    <x v="2"/>
    <s v="București"/>
    <s v="Full-time"/>
    <n v="14500"/>
    <s v="Activ"/>
    <m/>
    <m/>
    <s v="irina.oprea341@technova.ro"/>
    <x v="2"/>
    <n v="50"/>
    <n v="8"/>
    <s v="&gt; 5 ani"/>
    <n v="0"/>
  </r>
  <r>
    <x v="101"/>
    <s v="Neagu"/>
    <s v="Mihaela"/>
    <s v="F"/>
    <d v="1996-11-03T00:00:00"/>
    <d v="2025-01-03T00:00:00"/>
    <n v="20"/>
    <s v="Key Account Manager"/>
    <x v="3"/>
    <s v="București"/>
    <s v="Full-time"/>
    <n v="2750"/>
    <s v="Plecat"/>
    <d v="2025-12-02T00:00:00"/>
    <s v="Salariu mai bun în altă parte"/>
    <s v="mihaela.neagu417@technova.ro"/>
    <x v="4"/>
    <n v="29"/>
    <n v="0.9"/>
    <s v="&lt; 1 an"/>
    <n v="1"/>
  </r>
  <r>
    <x v="102"/>
    <s v="Sandu"/>
    <s v="Andreea"/>
    <s v="F"/>
    <d v="1978-03-03T00:00:00"/>
    <d v="2019-03-25T00:00:00"/>
    <n v="20"/>
    <s v="Key Account Manager"/>
    <x v="2"/>
    <s v="București"/>
    <s v="Part-time"/>
    <n v="9700"/>
    <s v="Plecat"/>
    <d v="2021-01-31T00:00:00"/>
    <s v="Relocare"/>
    <s v="andreea.sandu467@technova.ro"/>
    <x v="4"/>
    <n v="47"/>
    <n v="1.9"/>
    <s v="1–3 ani"/>
    <n v="1"/>
  </r>
  <r>
    <x v="103"/>
    <s v="Preda"/>
    <s v="Alexandru"/>
    <s v="M"/>
    <d v="1997-06-12T00:00:00"/>
    <d v="2025-06-21T00:00:00"/>
    <n v="60"/>
    <s v="Operator Call Center"/>
    <x v="3"/>
    <s v="Iași"/>
    <s v="Full-time"/>
    <n v="3150"/>
    <s v="Activ"/>
    <m/>
    <m/>
    <s v="alexandru.preda060@technova.ro"/>
    <x v="0"/>
    <n v="28"/>
    <n v="0.5"/>
    <s v="&lt; 1 an"/>
    <n v="0"/>
  </r>
  <r>
    <x v="104"/>
    <s v="Florea"/>
    <s v="Larisa"/>
    <s v="F"/>
    <d v="1996-09-18T00:00:00"/>
    <d v="2018-11-24T00:00:00"/>
    <n v="20"/>
    <s v="Key Account Manager"/>
    <x v="3"/>
    <s v="Timișoara"/>
    <s v="Full-time"/>
    <n v="3700"/>
    <s v="Plecat"/>
    <d v="2019-06-10T00:00:00"/>
    <s v="Lipsa oportunităților de promovare"/>
    <s v="larisa.florea186@technova.ro"/>
    <x v="4"/>
    <n v="29"/>
    <n v="0.5"/>
    <s v="&lt; 1 an"/>
    <n v="1"/>
  </r>
  <r>
    <x v="105"/>
    <s v="Ciobanu"/>
    <s v="Vlad"/>
    <s v="M"/>
    <d v="1996-04-26T00:00:00"/>
    <d v="2023-09-09T00:00:00"/>
    <n v="10"/>
    <s v="Tester QA"/>
    <x v="1"/>
    <s v="București"/>
    <s v="Full-time"/>
    <n v="8650"/>
    <s v="Activ"/>
    <m/>
    <m/>
    <s v="vlad.ciobanu011@technova.ro"/>
    <x v="2"/>
    <n v="29"/>
    <n v="2.2999999999999998"/>
    <s v="1–3 ani"/>
    <n v="0"/>
  </r>
  <r>
    <x v="106"/>
    <s v="Oprea"/>
    <s v="Ion"/>
    <s v="M"/>
    <d v="1969-10-15T00:00:00"/>
    <d v="2020-01-28T00:00:00"/>
    <n v="20"/>
    <s v="Manager Vânzări"/>
    <x v="0"/>
    <s v="București"/>
    <s v="Full-time"/>
    <n v="10100"/>
    <s v="Activ"/>
    <m/>
    <m/>
    <s v="ion.oprea056@technova.ro"/>
    <x v="4"/>
    <n v="56"/>
    <n v="5.9"/>
    <s v="&gt; 5 ani"/>
    <n v="0"/>
  </r>
  <r>
    <x v="107"/>
    <s v="Lungu"/>
    <s v="Vlad"/>
    <s v="M"/>
    <d v="2000-08-15T00:00:00"/>
    <d v="2024-03-24T00:00:00"/>
    <n v="10"/>
    <s v="Tester QA"/>
    <x v="3"/>
    <s v="Timișoara"/>
    <s v="Full-time"/>
    <n v="6850"/>
    <s v="Activ"/>
    <m/>
    <m/>
    <s v="vlad.lungu446@technova.ro"/>
    <x v="2"/>
    <n v="25"/>
    <n v="1.8"/>
    <s v="1–3 ani"/>
    <n v="0"/>
  </r>
  <r>
    <x v="108"/>
    <s v="Rusu"/>
    <s v="Elena"/>
    <s v="F"/>
    <d v="1989-11-05T00:00:00"/>
    <d v="2022-06-16T00:00:00"/>
    <n v="20"/>
    <s v="Manager Vânzări"/>
    <x v="0"/>
    <s v="Timișoara"/>
    <s v="Full-time"/>
    <n v="9750"/>
    <s v="Activ"/>
    <m/>
    <m/>
    <s v="elena.rusu362@technova.ro"/>
    <x v="4"/>
    <n v="36"/>
    <n v="3.5"/>
    <s v="3–5 ani"/>
    <n v="0"/>
  </r>
  <r>
    <x v="109"/>
    <s v="Cozma"/>
    <s v="Raluca"/>
    <s v="F"/>
    <d v="1998-04-10T00:00:00"/>
    <d v="2024-04-13T00:00:00"/>
    <n v="60"/>
    <s v="Specialist Suport"/>
    <x v="3"/>
    <s v="București"/>
    <s v="Full-time"/>
    <n v="2950"/>
    <s v="Plecat"/>
    <d v="2025-10-17T00:00:00"/>
    <s v="Pensionare"/>
    <s v="raluca.cozma057@technova.ro"/>
    <x v="0"/>
    <n v="27"/>
    <n v="1.5"/>
    <s v="1–3 ani"/>
    <n v="1"/>
  </r>
  <r>
    <x v="110"/>
    <s v="Popa"/>
    <s v="Simona"/>
    <s v="F"/>
    <d v="1993-07-18T00:00:00"/>
    <d v="2017-01-28T00:00:00"/>
    <n v="10"/>
    <s v="Tester QA"/>
    <x v="3"/>
    <s v="București"/>
    <s v="Full-time"/>
    <n v="6600"/>
    <s v="Activ"/>
    <m/>
    <m/>
    <s v="simona.popa477@technova.ro"/>
    <x v="2"/>
    <n v="32"/>
    <n v="8.9"/>
    <s v="&gt; 5 ani"/>
    <n v="0"/>
  </r>
  <r>
    <x v="111"/>
    <s v="Neagu"/>
    <s v="Ana"/>
    <s v="F"/>
    <d v="1990-07-23T00:00:00"/>
    <d v="2023-05-22T00:00:00"/>
    <n v="10"/>
    <s v="Analist IT"/>
    <x v="3"/>
    <s v="București"/>
    <s v="Full-time"/>
    <n v="6300"/>
    <s v="Plecat"/>
    <d v="2024-03-23T00:00:00"/>
    <s v="Pensionare"/>
    <s v="ana.neagu348@technova.ro"/>
    <x v="2"/>
    <n v="35"/>
    <n v="0.8"/>
    <s v="&lt; 1 an"/>
    <n v="1"/>
  </r>
  <r>
    <x v="112"/>
    <s v="Dobre"/>
    <s v="Simona"/>
    <s v="F"/>
    <d v="1981-02-01T00:00:00"/>
    <d v="2023-04-30T00:00:00"/>
    <n v="30"/>
    <s v="Manager Marketing"/>
    <x v="0"/>
    <s v="Cluj-Napoca"/>
    <s v="Full-time"/>
    <n v="11400"/>
    <s v="Activ"/>
    <m/>
    <m/>
    <s v="simona.dobre198@technova.ro"/>
    <x v="3"/>
    <n v="44"/>
    <n v="2.7"/>
    <s v="1–3 ani"/>
    <n v="0"/>
  </r>
  <r>
    <x v="113"/>
    <s v="Stoica"/>
    <s v="Mihaela"/>
    <s v="F"/>
    <d v="1990-04-07T00:00:00"/>
    <d v="2019-07-07T00:00:00"/>
    <n v="20"/>
    <s v="Key Account Manager"/>
    <x v="1"/>
    <s v="București"/>
    <s v="Full-time"/>
    <n v="5100"/>
    <s v="Activ"/>
    <m/>
    <m/>
    <s v="mihaela.stoica089@technova.ro"/>
    <x v="4"/>
    <n v="35"/>
    <n v="6.5"/>
    <s v="&gt; 5 ani"/>
    <n v="0"/>
  </r>
  <r>
    <x v="114"/>
    <s v="Dinu"/>
    <s v="Florin"/>
    <s v="M"/>
    <d v="1980-06-06T00:00:00"/>
    <d v="2025-07-05T00:00:00"/>
    <n v="10"/>
    <s v="DevOps Engineer"/>
    <x v="2"/>
    <s v="București"/>
    <s v="Part-time"/>
    <n v="12900"/>
    <s v="Plecat"/>
    <d v="2025-11-17T00:00:00"/>
    <s v="Salariu mai bun în altă parte"/>
    <s v="florin.dinu262@technova.ro"/>
    <x v="2"/>
    <n v="45"/>
    <n v="0.4"/>
    <s v="&lt; 1 an"/>
    <n v="1"/>
  </r>
  <r>
    <x v="115"/>
    <s v="Lungu"/>
    <s v="Ioana"/>
    <s v="F"/>
    <d v="1985-03-08T00:00:00"/>
    <d v="2022-08-26T00:00:00"/>
    <n v="30"/>
    <s v="Specialist Marketing"/>
    <x v="1"/>
    <s v="Cluj-Napoca"/>
    <s v="Full-time"/>
    <n v="6050"/>
    <s v="Activ"/>
    <m/>
    <m/>
    <s v="ioana.lungu025@technova.ro"/>
    <x v="3"/>
    <n v="40"/>
    <n v="3.3"/>
    <s v="3–5 ani"/>
    <n v="0"/>
  </r>
  <r>
    <x v="116"/>
    <s v="Constantin"/>
    <s v="Mihaela"/>
    <s v="F"/>
    <d v="1991-05-28T00:00:00"/>
    <d v="2017-12-24T00:00:00"/>
    <n v="30"/>
    <s v="Content Creator"/>
    <x v="3"/>
    <s v="Cluj-Napoca"/>
    <s v="Full-time"/>
    <n v="5000"/>
    <s v="Plecat"/>
    <d v="2020-08-22T00:00:00"/>
    <s v="Nespecificat"/>
    <s v="mihaela.constantin112@technova.ro"/>
    <x v="3"/>
    <n v="34"/>
    <n v="2.7"/>
    <s v="1–3 ani"/>
    <n v="1"/>
  </r>
  <r>
    <x v="117"/>
    <s v="Rusu"/>
    <s v="Denisa"/>
    <s v="F"/>
    <d v="1972-06-20T00:00:00"/>
    <d v="2018-02-02T00:00:00"/>
    <n v="50"/>
    <s v="Contabil"/>
    <x v="2"/>
    <s v="Iași"/>
    <s v="Full-time"/>
    <n v="6800"/>
    <s v="Plecat"/>
    <d v="2023-11-19T00:00:00"/>
    <s v="Nespecificat"/>
    <s v="denisa.rusu115@technova.ro"/>
    <x v="5"/>
    <n v="53"/>
    <n v="5.8"/>
    <s v="&gt; 5 ani"/>
    <n v="1"/>
  </r>
  <r>
    <x v="118"/>
    <s v="Munteanu"/>
    <s v="Oana"/>
    <s v="F"/>
    <d v="1976-03-07T00:00:00"/>
    <d v="2019-10-12T00:00:00"/>
    <n v="60"/>
    <s v="Specialist Suport"/>
    <x v="2"/>
    <s v="Iași"/>
    <s v="Full-time"/>
    <n v="6000"/>
    <s v="Activ"/>
    <m/>
    <m/>
    <s v="oana.munteanu195@technova.ro"/>
    <x v="0"/>
    <n v="49"/>
    <n v="6.2"/>
    <s v="&gt; 5 ani"/>
    <n v="0"/>
  </r>
  <r>
    <x v="119"/>
    <s v="Voicu"/>
    <s v="Stefan"/>
    <s v="M"/>
    <d v="1990-11-06T00:00:00"/>
    <d v="2018-11-11T00:00:00"/>
    <n v="60"/>
    <s v="Specialist Suport"/>
    <x v="1"/>
    <s v="Timișoara"/>
    <s v="Full-time"/>
    <n v="4175"/>
    <s v="Activ"/>
    <m/>
    <m/>
    <s v="stefan.voicu391@technova.ro"/>
    <x v="0"/>
    <n v="35"/>
    <n v="7.1"/>
    <s v="&gt; 5 ani"/>
    <n v="0"/>
  </r>
  <r>
    <x v="120"/>
    <s v="Surdu"/>
    <s v="Marius"/>
    <s v="M"/>
    <d v="1991-05-08T00:00:00"/>
    <d v="2017-08-15T00:00:00"/>
    <n v="10"/>
    <s v="Analist IT"/>
    <x v="1"/>
    <s v="București"/>
    <s v="Full-time"/>
    <n v="10100"/>
    <s v="Activ"/>
    <m/>
    <m/>
    <s v="marius.surdu331@technova.ro"/>
    <x v="2"/>
    <n v="34"/>
    <n v="8.4"/>
    <s v="&gt; 5 ani"/>
    <n v="0"/>
  </r>
  <r>
    <x v="121"/>
    <s v="Florea"/>
    <s v="Ana"/>
    <s v="F"/>
    <d v="1986-09-15T00:00:00"/>
    <d v="2018-05-10T00:00:00"/>
    <n v="20"/>
    <s v="Agent Vânzări"/>
    <x v="1"/>
    <s v="București"/>
    <s v="Full-time"/>
    <n v="5800"/>
    <s v="Plecat"/>
    <d v="2025-06-13T00:00:00"/>
    <s v="Relația cu managerul"/>
    <s v="ana.florea395@technova.ro"/>
    <x v="4"/>
    <n v="39"/>
    <n v="7.1"/>
    <s v="&gt; 5 ani"/>
    <n v="1"/>
  </r>
  <r>
    <x v="122"/>
    <s v="Gheorghe"/>
    <s v="Alexandru"/>
    <s v="M"/>
    <d v="1987-01-03T00:00:00"/>
    <d v="2021-09-13T00:00:00"/>
    <n v="10"/>
    <s v="DevOps Engineer"/>
    <x v="1"/>
    <s v="București"/>
    <s v="Full-time"/>
    <n v="7550"/>
    <s v="Activ"/>
    <m/>
    <m/>
    <s v="alexandru.gheorghe032@technova.ro"/>
    <x v="2"/>
    <n v="38"/>
    <n v="4.3"/>
    <s v="3–5 ani"/>
    <n v="0"/>
  </r>
  <r>
    <x v="123"/>
    <s v="Oprea"/>
    <s v="Cristian"/>
    <s v="M"/>
    <d v="1983-08-10T00:00:00"/>
    <d v="2023-06-11T00:00:00"/>
    <n v="40"/>
    <s v="Specialist HR"/>
    <x v="3"/>
    <s v="București"/>
    <s v="Full-time"/>
    <n v="3700"/>
    <s v="Plecat"/>
    <d v="2025-09-08T00:00:00"/>
    <s v="Nespecificat"/>
    <s v="cristian.oprea334@technova.ro"/>
    <x v="6"/>
    <n v="42"/>
    <n v="2.2000000000000002"/>
    <s v="1–3 ani"/>
    <n v="1"/>
  </r>
  <r>
    <x v="124"/>
    <s v="Stan"/>
    <s v="Stefan"/>
    <s v="M"/>
    <d v="1994-06-12T00:00:00"/>
    <d v="2019-07-21T00:00:00"/>
    <n v="30"/>
    <s v="Specialist Marketing"/>
    <x v="1"/>
    <s v="Cluj-Napoca"/>
    <s v="Full-time"/>
    <n v="6700"/>
    <s v="Activ"/>
    <m/>
    <m/>
    <s v="stefan.stan192@technova.ro"/>
    <x v="3"/>
    <n v="31"/>
    <n v="6.4"/>
    <s v="&gt; 5 ani"/>
    <n v="0"/>
  </r>
  <r>
    <x v="125"/>
    <s v="Stoica"/>
    <s v="Maria"/>
    <s v="F"/>
    <d v="1989-12-18T00:00:00"/>
    <d v="2022-04-23T00:00:00"/>
    <n v="60"/>
    <s v="Specialist Suport"/>
    <x v="2"/>
    <s v="Iași"/>
    <s v="Full-time"/>
    <n v="5600"/>
    <s v="Plecat"/>
    <d v="2024-08-09T00:00:00"/>
    <s v="Echilibru viață-muncă"/>
    <s v="maria.stoica434@technova.ro"/>
    <x v="0"/>
    <n v="36"/>
    <n v="2.2999999999999998"/>
    <s v="1–3 ani"/>
    <n v="1"/>
  </r>
  <r>
    <x v="126"/>
    <s v="Matei"/>
    <s v="Roxana"/>
    <s v="F"/>
    <d v="1987-04-02T00:00:00"/>
    <d v="2021-11-12T00:00:00"/>
    <n v="10"/>
    <s v="Manager IT"/>
    <x v="0"/>
    <s v="București"/>
    <s v="Full-time"/>
    <n v="14250"/>
    <s v="Activ"/>
    <m/>
    <m/>
    <s v="roxana.matei171@technova.ro"/>
    <x v="2"/>
    <n v="38"/>
    <n v="4.0999999999999996"/>
    <s v="3–5 ani"/>
    <n v="0"/>
  </r>
  <r>
    <x v="127"/>
    <s v="Matei"/>
    <s v="Robert"/>
    <s v="M"/>
    <d v="1975-06-04T00:00:00"/>
    <d v="2019-11-24T00:00:00"/>
    <n v="70"/>
    <s v="Coordonator Logistică"/>
    <x v="2"/>
    <s v="Timișoara"/>
    <s v="Full-time"/>
    <n v="7200"/>
    <s v="Activ"/>
    <m/>
    <m/>
    <s v="robert.matei181@technova.ro"/>
    <x v="1"/>
    <n v="50"/>
    <n v="6.1"/>
    <s v="&gt; 5 ani"/>
    <n v="0"/>
  </r>
  <r>
    <x v="128"/>
    <s v="Voicu"/>
    <s v="Oana"/>
    <s v="F"/>
    <d v="1989-10-23T00:00:00"/>
    <d v="2024-10-04T00:00:00"/>
    <n v="60"/>
    <s v="Specialist Suport"/>
    <x v="2"/>
    <s v="Timișoara"/>
    <s v="Full-time"/>
    <n v="5850"/>
    <s v="Plecat"/>
    <d v="2025-10-17T00:00:00"/>
    <s v="Pensionare"/>
    <s v="oana.voicu165@technova.ro"/>
    <x v="0"/>
    <n v="36"/>
    <n v="1"/>
    <s v="1–3 ani"/>
    <n v="1"/>
  </r>
  <r>
    <x v="129"/>
    <s v="Neagu"/>
    <s v="Roxana"/>
    <s v="F"/>
    <d v="1989-04-17T00:00:00"/>
    <d v="2017-02-25T00:00:00"/>
    <n v="50"/>
    <s v="Contabil"/>
    <x v="3"/>
    <s v="Iași"/>
    <s v="Full-time"/>
    <n v="5100"/>
    <s v="Plecat"/>
    <d v="2023-09-08T00:00:00"/>
    <s v="Relația cu managerul"/>
    <s v="roxana.neagu228@technova.ro"/>
    <x v="5"/>
    <n v="36"/>
    <n v="6.5"/>
    <s v="&gt; 5 ani"/>
    <n v="1"/>
  </r>
  <r>
    <x v="130"/>
    <s v="Marin"/>
    <s v="Larisa"/>
    <s v="F"/>
    <d v="1987-05-14T00:00:00"/>
    <d v="2019-05-30T00:00:00"/>
    <n v="10"/>
    <s v="Tester QA"/>
    <x v="1"/>
    <s v="Iași"/>
    <s v="Full-time"/>
    <n v="8800"/>
    <s v="Activ"/>
    <m/>
    <m/>
    <s v="larisa.marin176@technova.ro"/>
    <x v="2"/>
    <n v="38"/>
    <n v="6.6"/>
    <s v="&gt; 5 ani"/>
    <n v="0"/>
  </r>
  <r>
    <x v="131"/>
    <s v="Surdu"/>
    <s v="Ion"/>
    <s v="M"/>
    <d v="1992-08-26T00:00:00"/>
    <d v="2022-12-14T00:00:00"/>
    <n v="20"/>
    <s v="Agent Vânzări"/>
    <x v="1"/>
    <s v="București"/>
    <s v="Full-time"/>
    <n v="5000"/>
    <s v="Activ"/>
    <m/>
    <m/>
    <s v="ion.surdu263@technova.ro"/>
    <x v="4"/>
    <n v="33"/>
    <n v="3"/>
    <s v="3–5 ani"/>
    <n v="0"/>
  </r>
  <r>
    <x v="132"/>
    <s v="Nistor"/>
    <s v="Larisa"/>
    <s v="F"/>
    <d v="1994-09-02T00:00:00"/>
    <d v="2019-12-21T00:00:00"/>
    <n v="30"/>
    <s v="Specialist Marketing"/>
    <x v="3"/>
    <s v="Iași"/>
    <s v="Full-time"/>
    <n v="3950"/>
    <s v="Activ"/>
    <m/>
    <m/>
    <s v="larisa.nistor249@technova.ro"/>
    <x v="3"/>
    <n v="31"/>
    <n v="6"/>
    <s v="&gt; 5 ani"/>
    <n v="0"/>
  </r>
  <r>
    <x v="133"/>
    <s v="Barbu"/>
    <s v="Raluca"/>
    <s v="F"/>
    <d v="1991-09-15T00:00:00"/>
    <d v="2017-06-02T00:00:00"/>
    <n v="20"/>
    <s v="Agent Vânzări"/>
    <x v="1"/>
    <s v="București"/>
    <s v="Full-time"/>
    <n v="5550"/>
    <s v="Activ"/>
    <m/>
    <m/>
    <s v="raluca.barbu438@technova.ro"/>
    <x v="4"/>
    <n v="34"/>
    <n v="8.6"/>
    <s v="&gt; 5 ani"/>
    <n v="0"/>
  </r>
  <r>
    <x v="134"/>
    <s v="Dumitru"/>
    <s v="Larisa"/>
    <s v="F"/>
    <d v="1992-01-06T00:00:00"/>
    <d v="2021-12-22T00:00:00"/>
    <n v="50"/>
    <s v="Contabil"/>
    <x v="3"/>
    <s v="Iași"/>
    <s v="Full-time"/>
    <n v="5150"/>
    <s v="Activ"/>
    <m/>
    <m/>
    <s v="larisa.dumitru269@technova.ro"/>
    <x v="5"/>
    <n v="33"/>
    <n v="4"/>
    <s v="3–5 ani"/>
    <n v="0"/>
  </r>
  <r>
    <x v="135"/>
    <s v="Stan"/>
    <s v="Robert"/>
    <s v="M"/>
    <d v="1998-08-27T00:00:00"/>
    <d v="2023-03-28T00:00:00"/>
    <n v="10"/>
    <s v="Analist IT"/>
    <x v="3"/>
    <s v="Cluj-Napoca"/>
    <s v="Full-time"/>
    <n v="6050"/>
    <s v="Plecat"/>
    <d v="2025-10-19T00:00:00"/>
    <s v="Salariu mai bun în altă parte"/>
    <s v="robert.stan129@technova.ro"/>
    <x v="2"/>
    <n v="27"/>
    <n v="2.6"/>
    <s v="1–3 ani"/>
    <n v="1"/>
  </r>
  <r>
    <x v="136"/>
    <s v="Popa"/>
    <s v="Larisa"/>
    <s v="F"/>
    <d v="1985-10-07T00:00:00"/>
    <d v="2018-08-05T00:00:00"/>
    <n v="60"/>
    <s v="Operator Call Center"/>
    <x v="1"/>
    <s v="Iași"/>
    <s v="Full-time"/>
    <n v="3450"/>
    <s v="Activ"/>
    <m/>
    <m/>
    <s v="larisa.popa458@technova.ro"/>
    <x v="0"/>
    <n v="40"/>
    <n v="7.4"/>
    <s v="&gt; 5 ani"/>
    <n v="0"/>
  </r>
  <r>
    <x v="137"/>
    <s v="Stoica"/>
    <s v="Florin"/>
    <s v="M"/>
    <d v="1994-09-16T00:00:00"/>
    <d v="2019-09-15T00:00:00"/>
    <n v="20"/>
    <s v="Key Account Manager"/>
    <x v="3"/>
    <s v="București"/>
    <s v="Full-time"/>
    <n v="3450"/>
    <s v="Activ"/>
    <m/>
    <m/>
    <s v="florin.stoica124@technova.ro"/>
    <x v="4"/>
    <n v="31"/>
    <n v="6.3"/>
    <s v="&gt; 5 ani"/>
    <n v="0"/>
  </r>
  <r>
    <x v="138"/>
    <s v="Dumitru"/>
    <s v="Irina"/>
    <s v="F"/>
    <d v="1993-09-26T00:00:00"/>
    <d v="2022-09-27T00:00:00"/>
    <n v="30"/>
    <s v="Specialist Marketing"/>
    <x v="2"/>
    <s v="Cluj-Napoca"/>
    <s v="Full-time"/>
    <n v="10450"/>
    <s v="Activ"/>
    <m/>
    <m/>
    <s v="irina.dumitru328@technova.ro"/>
    <x v="3"/>
    <n v="32"/>
    <n v="3.3"/>
    <s v="3–5 ani"/>
    <n v="0"/>
  </r>
  <r>
    <x v="139"/>
    <s v="Popa"/>
    <s v="Irina"/>
    <s v="F"/>
    <d v="1981-08-12T00:00:00"/>
    <d v="2020-10-29T00:00:00"/>
    <n v="60"/>
    <s v="Manager Suport Clienți"/>
    <x v="0"/>
    <s v="Iași"/>
    <s v="Full-time"/>
    <n v="8600"/>
    <s v="Activ"/>
    <m/>
    <m/>
    <s v="irina.popa289@technova.ro"/>
    <x v="0"/>
    <n v="44"/>
    <n v="5.2"/>
    <s v="&gt; 5 ani"/>
    <n v="0"/>
  </r>
  <r>
    <x v="140"/>
    <s v="Constantin"/>
    <s v="Oana"/>
    <s v="F"/>
    <d v="1992-04-16T00:00:00"/>
    <d v="2017-11-20T00:00:00"/>
    <n v="10"/>
    <s v="Analist IT"/>
    <x v="3"/>
    <s v="București"/>
    <s v="Part-time"/>
    <n v="6550"/>
    <s v="Plecat"/>
    <d v="2023-09-11T00:00:00"/>
    <s v="Salariu mai bun în altă parte"/>
    <s v="oana.constantin234@technova.ro"/>
    <x v="2"/>
    <n v="33"/>
    <n v="5.8"/>
    <s v="&gt; 5 ani"/>
    <n v="1"/>
  </r>
  <r>
    <x v="141"/>
    <s v="Barbu"/>
    <s v="Elena"/>
    <s v="F"/>
    <d v="1991-08-26T00:00:00"/>
    <d v="2016-02-03T00:00:00"/>
    <n v="10"/>
    <s v="Programator"/>
    <x v="3"/>
    <s v="București"/>
    <s v="Full-time"/>
    <n v="6350"/>
    <s v="Activ"/>
    <m/>
    <m/>
    <s v="elena.barbu099@technova.ro"/>
    <x v="2"/>
    <n v="34"/>
    <n v="9.9"/>
    <s v="&gt; 5 ani"/>
    <n v="0"/>
  </r>
  <r>
    <x v="142"/>
    <s v="Ciobanu"/>
    <s v="Ioana"/>
    <s v="F"/>
    <d v="1996-03-20T00:00:00"/>
    <d v="2017-07-09T00:00:00"/>
    <n v="20"/>
    <s v="Key Account Manager"/>
    <x v="3"/>
    <s v="București"/>
    <s v="Full-time"/>
    <n v="3500"/>
    <s v="Activ"/>
    <m/>
    <m/>
    <s v="ioana.ciobanu240@technova.ro"/>
    <x v="4"/>
    <n v="29"/>
    <n v="8.5"/>
    <s v="&gt; 5 ani"/>
    <n v="0"/>
  </r>
  <r>
    <x v="143"/>
    <s v="Rusu"/>
    <s v="Bogdan"/>
    <s v="M"/>
    <d v="1988-06-12T00:00:00"/>
    <d v="2018-03-08T00:00:00"/>
    <n v="70"/>
    <s v="Specialist Operațiuni"/>
    <x v="3"/>
    <s v="Timișoara"/>
    <s v="Full-time"/>
    <n v="4400"/>
    <s v="Plecat"/>
    <d v="2022-01-23T00:00:00"/>
    <s v="Lipsa oportunităților de promovare"/>
    <s v="bogdan.rusu288@technova.ro"/>
    <x v="1"/>
    <n v="37"/>
    <n v="3.9"/>
    <s v="3–5 ani"/>
    <n v="1"/>
  </r>
  <r>
    <x v="144"/>
    <s v="Rusu"/>
    <s v="Gabriela"/>
    <s v="F"/>
    <d v="1989-11-07T00:00:00"/>
    <d v="2023-05-25T00:00:00"/>
    <n v="10"/>
    <s v="Manager IT"/>
    <x v="0"/>
    <s v="București"/>
    <s v="Full-time"/>
    <n v="17450"/>
    <s v="Plecat"/>
    <d v="2025-12-05T00:00:00"/>
    <s v="Nespecificat"/>
    <s v="gabriela.rusu158@technova.ro"/>
    <x v="2"/>
    <n v="36"/>
    <n v="2.5"/>
    <s v="1–3 ani"/>
    <n v="1"/>
  </r>
  <r>
    <x v="145"/>
    <s v="Surdu"/>
    <s v="Bogdan"/>
    <s v="M"/>
    <d v="1981-12-24T00:00:00"/>
    <d v="2021-10-18T00:00:00"/>
    <n v="30"/>
    <s v="Content Creator"/>
    <x v="2"/>
    <s v="Cluj-Napoca"/>
    <s v="Full-time"/>
    <n v="8800"/>
    <s v="Activ"/>
    <m/>
    <m/>
    <s v="bogdan.surdu187@technova.ro"/>
    <x v="3"/>
    <n v="44"/>
    <n v="4.2"/>
    <s v="3–5 ani"/>
    <n v="0"/>
  </r>
  <r>
    <x v="146"/>
    <s v="Ionescu"/>
    <s v="Radu"/>
    <s v="M"/>
    <d v="1981-08-26T00:00:00"/>
    <d v="2024-04-13T00:00:00"/>
    <n v="30"/>
    <s v="Content Creator"/>
    <x v="1"/>
    <s v="Cluj-Napoca"/>
    <s v="Part-time"/>
    <n v="5900"/>
    <s v="Activ"/>
    <m/>
    <m/>
    <s v="radu.ionescu210@technova.ro"/>
    <x v="3"/>
    <n v="44"/>
    <n v="1.7"/>
    <s v="1–3 ani"/>
    <n v="0"/>
  </r>
  <r>
    <x v="147"/>
    <s v="Ionescu"/>
    <s v="Larisa"/>
    <s v="F"/>
    <d v="1979-09-15T00:00:00"/>
    <d v="2025-01-01T00:00:00"/>
    <n v="20"/>
    <s v="Agent Vânzări"/>
    <x v="2"/>
    <s v="Iași"/>
    <s v="Full-time"/>
    <n v="8150"/>
    <s v="Plecat"/>
    <d v="2025-11-27T00:00:00"/>
    <s v="Lipsa oportunităților de promovare"/>
    <s v="larisa.ionescu346@technova.ro"/>
    <x v="4"/>
    <n v="46"/>
    <n v="0.9"/>
    <s v="&lt; 1 an"/>
    <n v="1"/>
  </r>
  <r>
    <x v="148"/>
    <s v="Matei"/>
    <s v="Robert"/>
    <s v="M"/>
    <d v="1993-12-16T00:00:00"/>
    <d v="2016-11-03T00:00:00"/>
    <n v="70"/>
    <s v="Coordonator Logistică"/>
    <x v="3"/>
    <s v="București"/>
    <s v="Full-time"/>
    <n v="3600"/>
    <s v="Plecat"/>
    <d v="2024-11-01T00:00:00"/>
    <s v="Echilibru viață-muncă"/>
    <s v="robert.matei292@technova.ro"/>
    <x v="1"/>
    <n v="32"/>
    <n v="8"/>
    <s v="&gt; 5 ani"/>
    <n v="1"/>
  </r>
  <r>
    <x v="149"/>
    <s v="Preda"/>
    <s v="Elena"/>
    <s v="F"/>
    <d v="1983-10-09T00:00:00"/>
    <d v="2024-05-06T00:00:00"/>
    <n v="60"/>
    <s v="Operator Call Center"/>
    <x v="3"/>
    <s v="Iași"/>
    <s v="Full-time"/>
    <n v="2750"/>
    <s v="Activ"/>
    <m/>
    <m/>
    <s v="elena.preda304@technova.ro"/>
    <x v="0"/>
    <n v="42"/>
    <n v="1.7"/>
    <s v="1–3 ani"/>
    <n v="0"/>
  </r>
  <r>
    <x v="150"/>
    <s v="Barbu"/>
    <s v="Ana"/>
    <s v="F"/>
    <d v="1991-03-10T00:00:00"/>
    <d v="2019-10-16T00:00:00"/>
    <n v="10"/>
    <s v="Analist IT"/>
    <x v="3"/>
    <s v="București"/>
    <s v="Part-time"/>
    <n v="5900"/>
    <s v="Activ"/>
    <m/>
    <m/>
    <s v="ana.barbu349@technova.ro"/>
    <x v="2"/>
    <n v="34"/>
    <n v="6.2"/>
    <s v="&gt; 5 ani"/>
    <n v="0"/>
  </r>
  <r>
    <x v="151"/>
    <s v="Cozma"/>
    <s v="Denisa"/>
    <s v="F"/>
    <d v="1983-11-27T00:00:00"/>
    <d v="2022-12-11T00:00:00"/>
    <n v="20"/>
    <s v="Key Account Manager"/>
    <x v="1"/>
    <s v="București"/>
    <s v="Full-time"/>
    <n v="5400"/>
    <s v="Activ"/>
    <m/>
    <m/>
    <s v="denisa.cozma419@technova.ro"/>
    <x v="4"/>
    <n v="42"/>
    <n v="3.1"/>
    <s v="3–5 ani"/>
    <n v="0"/>
  </r>
  <r>
    <x v="152"/>
    <s v="Toma"/>
    <s v="Larisa"/>
    <s v="F"/>
    <d v="1999-02-13T00:00:00"/>
    <d v="2024-12-05T00:00:00"/>
    <n v="60"/>
    <s v="Specialist Suport"/>
    <x v="3"/>
    <s v="București"/>
    <s v="Part-time"/>
    <n v="3150"/>
    <s v="Activ"/>
    <m/>
    <m/>
    <s v="larisa.toma444@technova.ro"/>
    <x v="0"/>
    <n v="26"/>
    <n v="1.1000000000000001"/>
    <s v="1–3 ani"/>
    <n v="0"/>
  </r>
  <r>
    <x v="153"/>
    <s v="Popa"/>
    <s v="Ana"/>
    <s v="F"/>
    <d v="1978-06-27T00:00:00"/>
    <d v="2025-07-08T00:00:00"/>
    <n v="50"/>
    <s v="Contabil"/>
    <x v="1"/>
    <s v="Iași"/>
    <s v="Full-time"/>
    <n v="6350"/>
    <s v="Activ"/>
    <m/>
    <m/>
    <s v="ana.popa109@technova.ro"/>
    <x v="5"/>
    <n v="47"/>
    <n v="0.5"/>
    <s v="&lt; 1 an"/>
    <n v="0"/>
  </r>
  <r>
    <x v="154"/>
    <s v="Sandu"/>
    <s v="Alexandru"/>
    <s v="M"/>
    <d v="1981-02-03T00:00:00"/>
    <d v="2019-03-27T00:00:00"/>
    <n v="10"/>
    <s v="Tester QA"/>
    <x v="3"/>
    <s v="București"/>
    <s v="Full-time"/>
    <n v="5700"/>
    <s v="Plecat"/>
    <d v="2023-03-30T00:00:00"/>
    <s v="Lipsa oportunităților de promovare"/>
    <s v="alexandru.sandu422@technova.ro"/>
    <x v="2"/>
    <n v="44"/>
    <n v="4"/>
    <s v="3–5 ani"/>
    <n v="1"/>
  </r>
  <r>
    <x v="155"/>
    <s v="Voicu"/>
    <s v="Raluca"/>
    <s v="F"/>
    <d v="1995-05-10T00:00:00"/>
    <d v="2019-02-28T00:00:00"/>
    <n v="10"/>
    <s v="DevOps Engineer"/>
    <x v="3"/>
    <s v="București"/>
    <s v="Full-time"/>
    <n v="4800"/>
    <s v="Activ"/>
    <m/>
    <m/>
    <s v="raluca.voicu245@technova.ro"/>
    <x v="2"/>
    <n v="30"/>
    <n v="6.8"/>
    <s v="&gt; 5 ani"/>
    <n v="0"/>
  </r>
  <r>
    <x v="156"/>
    <s v="Ciobanu"/>
    <s v="Mihai"/>
    <s v="M"/>
    <d v="1991-02-26T00:00:00"/>
    <d v="2019-10-22T00:00:00"/>
    <n v="60"/>
    <s v="Specialist Suport"/>
    <x v="3"/>
    <s v="Iași"/>
    <s v="Full-time"/>
    <n v="2825"/>
    <s v="Activ"/>
    <m/>
    <m/>
    <s v="mihai.ciobanu272@technova.ro"/>
    <x v="0"/>
    <n v="34"/>
    <n v="6.2"/>
    <s v="&gt; 5 ani"/>
    <n v="0"/>
  </r>
  <r>
    <x v="157"/>
    <s v="Dinu"/>
    <s v="Raluca"/>
    <s v="F"/>
    <d v="1992-06-14T00:00:00"/>
    <d v="2016-01-22T00:00:00"/>
    <n v="30"/>
    <s v="Specialist Marketing"/>
    <x v="3"/>
    <s v="București"/>
    <s v="Full-time"/>
    <n v="3950"/>
    <s v="Activ"/>
    <m/>
    <m/>
    <s v="raluca.dinu387@technova.ro"/>
    <x v="3"/>
    <n v="33"/>
    <n v="9.9"/>
    <s v="&gt; 5 ani"/>
    <n v="0"/>
  </r>
  <r>
    <x v="158"/>
    <s v="Nistor"/>
    <s v="Alexandra"/>
    <s v="F"/>
    <d v="1978-09-21T00:00:00"/>
    <d v="2018-10-22T00:00:00"/>
    <n v="10"/>
    <s v="Analist IT"/>
    <x v="1"/>
    <s v="București"/>
    <s v="Full-time"/>
    <n v="9250"/>
    <s v="Activ"/>
    <m/>
    <m/>
    <s v="alexandra.nistor083@technova.ro"/>
    <x v="2"/>
    <n v="47"/>
    <n v="7.2"/>
    <s v="&gt; 5 ani"/>
    <n v="0"/>
  </r>
  <r>
    <x v="159"/>
    <s v="Preda"/>
    <s v="Mihaela"/>
    <s v="F"/>
    <d v="1993-03-19T00:00:00"/>
    <d v="2018-06-22T00:00:00"/>
    <n v="50"/>
    <s v="Analist Financiar"/>
    <x v="3"/>
    <s v="București"/>
    <s v="Full-time"/>
    <n v="4650"/>
    <s v="Activ"/>
    <m/>
    <m/>
    <m/>
    <x v="5"/>
    <n v="32"/>
    <n v="7.5"/>
    <s v="&gt; 5 ani"/>
    <n v="0"/>
  </r>
  <r>
    <x v="160"/>
    <s v="Preda"/>
    <s v="Denisa"/>
    <s v="F"/>
    <d v="1988-05-13T00:00:00"/>
    <d v="2017-10-26T00:00:00"/>
    <n v="70"/>
    <s v="Coordonator Logistică"/>
    <x v="3"/>
    <s v="București"/>
    <s v="Full-time"/>
    <n v="3800"/>
    <s v="Activ"/>
    <m/>
    <m/>
    <s v="denisa.preda054@technova.ro"/>
    <x v="1"/>
    <n v="37"/>
    <n v="8.1999999999999993"/>
    <s v="&gt; 5 ani"/>
    <n v="0"/>
  </r>
  <r>
    <x v="161"/>
    <s v="Munteanu"/>
    <s v="Simona"/>
    <s v="F"/>
    <d v="1987-08-06T00:00:00"/>
    <d v="2018-09-11T00:00:00"/>
    <n v="60"/>
    <s v="Operator Call Center"/>
    <x v="3"/>
    <s v="Iași"/>
    <s v="Full-time"/>
    <n v="2550"/>
    <s v="Activ"/>
    <m/>
    <m/>
    <s v="simona.munteanu242@technova.ro"/>
    <x v="0"/>
    <n v="38"/>
    <n v="7.3"/>
    <s v="&gt; 5 ani"/>
    <n v="0"/>
  </r>
  <r>
    <x v="162"/>
    <s v="Florea"/>
    <s v="Florin"/>
    <s v="M"/>
    <d v="1984-03-05T00:00:00"/>
    <d v="2016-03-10T00:00:00"/>
    <n v="60"/>
    <s v="Operator Call Center"/>
    <x v="3"/>
    <s v="Iași"/>
    <s v="Full-time"/>
    <n v="2450"/>
    <s v="Plecat"/>
    <d v="2023-11-17T00:00:00"/>
    <s v="Salariu mai bun în altă parte"/>
    <s v="florin.florea085@technova.ro"/>
    <x v="0"/>
    <n v="41"/>
    <n v="7.7"/>
    <s v="&gt; 5 ani"/>
    <n v="1"/>
  </r>
  <r>
    <x v="163"/>
    <s v="Surdu"/>
    <s v="Alexandra"/>
    <s v="F"/>
    <d v="1980-06-15T00:00:00"/>
    <d v="2021-11-01T00:00:00"/>
    <n v="70"/>
    <s v="Coordonator Logistică"/>
    <x v="1"/>
    <s v="Timișoara"/>
    <s v="Full-time"/>
    <n v="5300"/>
    <s v="Plecat"/>
    <d v="2022-11-03T00:00:00"/>
    <s v="Lipsa oportunităților de promovare"/>
    <s v="alexandra.surdu426@technova.ro"/>
    <x v="1"/>
    <n v="45"/>
    <n v="1"/>
    <s v="1–3 ani"/>
    <n v="1"/>
  </r>
  <r>
    <x v="164"/>
    <s v="Stoica"/>
    <s v="Bianca"/>
    <s v="F"/>
    <d v="1979-02-16T00:00:00"/>
    <d v="2017-04-18T00:00:00"/>
    <n v="20"/>
    <s v="Manager Vânzări"/>
    <x v="0"/>
    <s v="București"/>
    <s v="Full-time"/>
    <n v="10250"/>
    <s v="Activ"/>
    <m/>
    <m/>
    <s v="bianca.stoica480@technova.ro"/>
    <x v="4"/>
    <n v="46"/>
    <n v="8.6999999999999993"/>
    <s v="&gt; 5 ani"/>
    <n v="0"/>
  </r>
  <r>
    <x v="165"/>
    <s v="Neagu"/>
    <s v="Simona"/>
    <s v="F"/>
    <d v="1979-10-20T00:00:00"/>
    <d v="2020-11-27T00:00:00"/>
    <n v="20"/>
    <s v="Key Account Manager"/>
    <x v="2"/>
    <s v="București"/>
    <s v="Full-time"/>
    <n v="7100"/>
    <s v="Activ"/>
    <m/>
    <m/>
    <s v="simona.neagu397@technova.ro"/>
    <x v="4"/>
    <n v="46"/>
    <n v="5.0999999999999996"/>
    <s v="&gt; 5 ani"/>
    <n v="0"/>
  </r>
  <r>
    <x v="166"/>
    <s v="Marin"/>
    <s v="Mihai"/>
    <s v="M"/>
    <d v="1988-05-02T00:00:00"/>
    <d v="2018-05-15T00:00:00"/>
    <n v="20"/>
    <s v="Key Account Manager"/>
    <x v="3"/>
    <s v="București"/>
    <s v="Full-time"/>
    <n v="3450"/>
    <s v="Activ"/>
    <m/>
    <m/>
    <s v="mihai.marin420@technova.ro"/>
    <x v="4"/>
    <n v="37"/>
    <n v="7.6"/>
    <s v="&gt; 5 ani"/>
    <n v="0"/>
  </r>
  <r>
    <x v="167"/>
    <s v="Matei"/>
    <s v="Larisa"/>
    <s v="F"/>
    <d v="1981-08-26T00:00:00"/>
    <d v="2023-10-12T00:00:00"/>
    <n v="60"/>
    <s v="Specialist Suport"/>
    <x v="3"/>
    <s v="Iași"/>
    <s v="Full-time"/>
    <n v="2950"/>
    <s v="Activ"/>
    <m/>
    <m/>
    <s v="larisa.matei202@technova.ro"/>
    <x v="0"/>
    <n v="44"/>
    <n v="2.2000000000000002"/>
    <s v="1–3 ani"/>
    <n v="0"/>
  </r>
  <r>
    <x v="168"/>
    <s v="Matei"/>
    <s v="Larisa"/>
    <s v="F"/>
    <d v="1990-02-23T00:00:00"/>
    <d v="2018-12-13T00:00:00"/>
    <n v="10"/>
    <s v="Analist IT"/>
    <x v="1"/>
    <s v="București"/>
    <s v="Full-time"/>
    <n v="8000"/>
    <s v="Activ"/>
    <m/>
    <m/>
    <s v="larisa.matei075@technova.ro"/>
    <x v="2"/>
    <n v="35"/>
    <n v="7"/>
    <s v="&gt; 5 ani"/>
    <n v="0"/>
  </r>
  <r>
    <x v="169"/>
    <s v="Florea"/>
    <s v="Oana"/>
    <s v="F"/>
    <d v="1981-09-21T00:00:00"/>
    <d v="2019-09-23T00:00:00"/>
    <n v="60"/>
    <s v="Operator Call Center"/>
    <x v="3"/>
    <s v="Iași"/>
    <s v="Full-time"/>
    <n v="2550"/>
    <s v="Activ"/>
    <m/>
    <m/>
    <s v="oana.florea453@technova.ro"/>
    <x v="0"/>
    <n v="44"/>
    <n v="6.3"/>
    <s v="&gt; 5 ani"/>
    <n v="0"/>
  </r>
  <r>
    <x v="170"/>
    <s v="Sandu"/>
    <s v="Ana"/>
    <s v="F"/>
    <d v="1987-02-02T00:00:00"/>
    <d v="2022-12-04T00:00:00"/>
    <n v="20"/>
    <s v="Agent Vânzări"/>
    <x v="3"/>
    <s v="București"/>
    <s v="Full-time"/>
    <n v="3150"/>
    <s v="Plecat"/>
    <d v="2024-07-18T00:00:00"/>
    <s v="Relația cu managerul"/>
    <s v="ana.sandu402@technova.ro"/>
    <x v="4"/>
    <n v="38"/>
    <n v="1.6"/>
    <s v="1–3 ani"/>
    <n v="1"/>
  </r>
  <r>
    <x v="171"/>
    <s v="Surdu"/>
    <s v="Ion"/>
    <s v="M"/>
    <d v="1990-11-17T00:00:00"/>
    <d v="2018-08-31T00:00:00"/>
    <n v="20"/>
    <s v="Agent Vânzări"/>
    <x v="3"/>
    <s v="București"/>
    <s v="Full-time"/>
    <n v="4250"/>
    <s v="Plecat"/>
    <d v="2018-12-05T00:00:00"/>
    <s v="Salariu mai bun în altă parte"/>
    <s v="ion.surdu273@technova.ro"/>
    <x v="4"/>
    <n v="35"/>
    <n v="0.3"/>
    <s v="&lt; 1 an"/>
    <n v="1"/>
  </r>
  <r>
    <x v="172"/>
    <s v="Sandu"/>
    <s v="Diana"/>
    <s v="F"/>
    <d v="2003-08-22T00:00:00"/>
    <d v="2023-10-18T00:00:00"/>
    <n v="20"/>
    <s v="Agent Vânzări"/>
    <x v="3"/>
    <s v="București"/>
    <s v="Full-time"/>
    <n v="3750"/>
    <s v="Activ"/>
    <m/>
    <m/>
    <s v="diana.sandu383@technova.ro"/>
    <x v="4"/>
    <n v="22"/>
    <n v="2.2000000000000002"/>
    <s v="1–3 ani"/>
    <n v="0"/>
  </r>
  <r>
    <x v="173"/>
    <s v="Sandu"/>
    <s v="Alexandra"/>
    <s v="F"/>
    <d v="1976-11-07T00:00:00"/>
    <d v="2016-12-16T00:00:00"/>
    <n v="70"/>
    <s v="Specialist Operațiuni"/>
    <x v="2"/>
    <s v="Cluj-Napoca"/>
    <s v="Full-time"/>
    <n v="6950"/>
    <s v="Activ"/>
    <m/>
    <m/>
    <s v="alexandra.sandu024@technova.ro"/>
    <x v="1"/>
    <n v="49"/>
    <n v="9"/>
    <s v="&gt; 5 ani"/>
    <n v="0"/>
  </r>
  <r>
    <x v="174"/>
    <s v="Stan"/>
    <s v="Robert"/>
    <s v="M"/>
    <d v="2000-11-09T00:00:00"/>
    <d v="2023-01-09T00:00:00"/>
    <n v="10"/>
    <s v="Analist IT"/>
    <x v="3"/>
    <s v="București"/>
    <s v="Full-time"/>
    <n v="6150"/>
    <s v="Activ"/>
    <m/>
    <m/>
    <s v="robert.stan410@technova.ro"/>
    <x v="2"/>
    <n v="25"/>
    <n v="3"/>
    <s v="3–5 ani"/>
    <n v="0"/>
  </r>
  <r>
    <x v="175"/>
    <s v="Tudor"/>
    <s v="George"/>
    <s v="M"/>
    <d v="1982-03-17T00:00:00"/>
    <d v="2017-05-14T00:00:00"/>
    <n v="10"/>
    <s v="Programator"/>
    <x v="1"/>
    <s v="București"/>
    <s v="Full-time"/>
    <n v="8600"/>
    <s v="Activ"/>
    <m/>
    <m/>
    <s v="george.tudor155@technova.ro"/>
    <x v="2"/>
    <n v="43"/>
    <n v="8.6"/>
    <s v="&gt; 5 ani"/>
    <n v="0"/>
  </r>
  <r>
    <x v="176"/>
    <s v="Munteanu"/>
    <s v="Raluca"/>
    <s v="F"/>
    <d v="1981-06-07T00:00:00"/>
    <d v="2017-04-19T00:00:00"/>
    <n v="10"/>
    <s v="Analist IT"/>
    <x v="3"/>
    <s v="București"/>
    <s v="Full-time"/>
    <n v="5050"/>
    <s v="Plecat"/>
    <d v="2018-03-24T00:00:00"/>
    <s v="Echilibru viață-muncă"/>
    <s v="raluca.munteanu340@technova.ro"/>
    <x v="2"/>
    <n v="44"/>
    <n v="0.9"/>
    <s v="&lt; 1 an"/>
    <n v="1"/>
  </r>
  <r>
    <x v="177"/>
    <s v="Neagu"/>
    <s v="Sorin"/>
    <s v="M"/>
    <d v="1989-10-10T00:00:00"/>
    <d v="2022-12-28T00:00:00"/>
    <n v="20"/>
    <s v="Key Account Manager"/>
    <x v="1"/>
    <s v="București"/>
    <s v="Part-time"/>
    <n v="5350"/>
    <s v="Activ"/>
    <m/>
    <m/>
    <s v="sorin.neagu374@technova.ro"/>
    <x v="4"/>
    <n v="36"/>
    <n v="3"/>
    <s v="3–5 ani"/>
    <n v="0"/>
  </r>
  <r>
    <x v="178"/>
    <s v="Preda"/>
    <s v="Robert"/>
    <s v="M"/>
    <d v="1983-11-01T00:00:00"/>
    <d v="2018-06-22T00:00:00"/>
    <n v="10"/>
    <s v="Analist IT"/>
    <x v="3"/>
    <s v="București"/>
    <s v="Full-time"/>
    <n v="5800"/>
    <s v="Activ"/>
    <m/>
    <m/>
    <s v="robert.preda237@technova.ro"/>
    <x v="2"/>
    <n v="42"/>
    <n v="7.5"/>
    <s v="&gt; 5 ani"/>
    <n v="0"/>
  </r>
  <r>
    <x v="179"/>
    <s v="Oprea"/>
    <s v="Cătălin"/>
    <s v="M"/>
    <d v="1994-03-16T00:00:00"/>
    <d v="2022-04-19T00:00:00"/>
    <n v="30"/>
    <s v="Specialist Marketing"/>
    <x v="2"/>
    <s v="Iași"/>
    <s v="Full-time"/>
    <n v="8975"/>
    <s v="Activ"/>
    <m/>
    <m/>
    <s v="catalin.oprea051@technova.ro"/>
    <x v="3"/>
    <n v="31"/>
    <n v="3.7"/>
    <s v="3–5 ani"/>
    <n v="0"/>
  </r>
  <r>
    <x v="180"/>
    <s v="Stan"/>
    <s v="Bogdan"/>
    <s v="M"/>
    <d v="1997-05-24T00:00:00"/>
    <d v="2022-02-24T00:00:00"/>
    <n v="60"/>
    <s v="Specialist Suport"/>
    <x v="1"/>
    <s v="Iași"/>
    <s v="Full-time"/>
    <n v="3350"/>
    <s v="Plecat"/>
    <d v="2023-03-07T00:00:00"/>
    <s v="Relația cu managerul"/>
    <s v="bogdan.stan039@technova.ro"/>
    <x v="0"/>
    <n v="28"/>
    <n v="1"/>
    <s v="1–3 ani"/>
    <n v="1"/>
  </r>
  <r>
    <x v="181"/>
    <s v="Oprea"/>
    <s v="Irina"/>
    <s v="F"/>
    <d v="1992-06-10T00:00:00"/>
    <d v="2025-08-06T00:00:00"/>
    <n v="10"/>
    <s v="Analist IT"/>
    <x v="1"/>
    <s v="București"/>
    <s v="Full-time"/>
    <n v="8700"/>
    <s v="Activ"/>
    <m/>
    <m/>
    <s v="irina.oprea279@technova.ro"/>
    <x v="2"/>
    <n v="33"/>
    <n v="0.4"/>
    <s v="&lt; 1 an"/>
    <n v="0"/>
  </r>
  <r>
    <x v="182"/>
    <s v="Popa"/>
    <s v="Andrei"/>
    <s v="M"/>
    <d v="1986-11-27T00:00:00"/>
    <d v="2018-07-11T00:00:00"/>
    <n v="10"/>
    <s v="Tester QA"/>
    <x v="3"/>
    <s v="București"/>
    <s v="Full-time"/>
    <n v="7000"/>
    <s v="Activ"/>
    <m/>
    <m/>
    <s v="andrei.popa478@technova.ro"/>
    <x v="2"/>
    <n v="39"/>
    <n v="7.5"/>
    <s v="&gt; 5 ani"/>
    <n v="0"/>
  </r>
  <r>
    <x v="183"/>
    <s v="Lungu"/>
    <s v="Gabriela"/>
    <s v="F"/>
    <d v="1993-08-01T00:00:00"/>
    <d v="2023-09-14T00:00:00"/>
    <n v="50"/>
    <s v="Contabil"/>
    <x v="1"/>
    <s v="Iași"/>
    <s v="Full-time"/>
    <n v="6300"/>
    <s v="Plecat"/>
    <d v="2025-09-13T00:00:00"/>
    <s v="Salariu mai bun în altă parte"/>
    <s v="gabriela.lungu006@technova.ro"/>
    <x v="5"/>
    <n v="32"/>
    <n v="2"/>
    <s v="1–3 ani"/>
    <n v="1"/>
  </r>
  <r>
    <x v="184"/>
    <s v="Gheorghe"/>
    <s v="Oana"/>
    <s v="F"/>
    <d v="1995-11-12T00:00:00"/>
    <d v="2024-03-20T00:00:00"/>
    <n v="60"/>
    <s v="Operator Call Center"/>
    <x v="3"/>
    <s v="București"/>
    <s v="Full-time"/>
    <n v="2900"/>
    <s v="Plecat"/>
    <d v="2025-01-19T00:00:00"/>
    <s v="Echilibru viață-muncă"/>
    <s v="oana.gheorghe076@technova.ro"/>
    <x v="0"/>
    <n v="30"/>
    <n v="0.8"/>
    <s v="&lt; 1 an"/>
    <n v="1"/>
  </r>
  <r>
    <x v="185"/>
    <s v="Marin"/>
    <s v="Cristian"/>
    <s v="M"/>
    <d v="1978-07-03T00:00:00"/>
    <d v="2017-04-14T00:00:00"/>
    <n v="10"/>
    <s v="DevOps Engineer"/>
    <x v="2"/>
    <s v="Cluj-Napoca"/>
    <s v="Full-time"/>
    <n v="13100"/>
    <s v="Activ"/>
    <m/>
    <m/>
    <s v="cristian.marin143@technova.ro"/>
    <x v="2"/>
    <n v="47"/>
    <n v="8.6999999999999993"/>
    <s v="&gt; 5 ani"/>
    <n v="0"/>
  </r>
  <r>
    <x v="186"/>
    <s v="Stoica"/>
    <s v="Oana"/>
    <s v="F"/>
    <d v="1990-04-04T00:00:00"/>
    <d v="2024-12-27T00:00:00"/>
    <n v="10"/>
    <s v="Analist IT"/>
    <x v="1"/>
    <s v="București"/>
    <s v="Full-time"/>
    <n v="8650"/>
    <s v="Activ"/>
    <m/>
    <m/>
    <s v="oana.stoica048@technova.ro"/>
    <x v="2"/>
    <n v="35"/>
    <n v="1"/>
    <s v="1–3 ani"/>
    <n v="0"/>
  </r>
  <r>
    <x v="187"/>
    <s v="Dumitru"/>
    <s v="Vlad"/>
    <s v="M"/>
    <d v="1979-05-10T00:00:00"/>
    <d v="2017-03-01T00:00:00"/>
    <n v="70"/>
    <s v="Specialist Operațiuni"/>
    <x v="1"/>
    <s v="Timișoara"/>
    <s v="Full-time"/>
    <n v="4750"/>
    <s v="Activ"/>
    <m/>
    <m/>
    <s v="vlad.dumitru047@technova.ro"/>
    <x v="1"/>
    <n v="46"/>
    <n v="8.8000000000000007"/>
    <s v="&gt; 5 ani"/>
    <n v="0"/>
  </r>
  <r>
    <x v="188"/>
    <s v="Popa"/>
    <s v="Bogdan"/>
    <s v="M"/>
    <d v="1999-12-28T00:00:00"/>
    <d v="2023-03-17T00:00:00"/>
    <n v="10"/>
    <s v="Programator"/>
    <x v="3"/>
    <s v="București"/>
    <s v="Full-time"/>
    <n v="7400"/>
    <s v="Activ"/>
    <m/>
    <m/>
    <s v="bogdan.popa071@technova.ro"/>
    <x v="2"/>
    <n v="26"/>
    <n v="2.8"/>
    <s v="1–3 ani"/>
    <n v="0"/>
  </r>
  <r>
    <x v="189"/>
    <s v="Ionescu"/>
    <s v="Ion"/>
    <s v="M"/>
    <d v="1978-05-14T00:00:00"/>
    <d v="2023-12-01T00:00:00"/>
    <n v="80"/>
    <s v="Consilier Juridic"/>
    <x v="2"/>
    <s v="București"/>
    <s v="Full-time"/>
    <n v="12100"/>
    <s v="Activ"/>
    <m/>
    <m/>
    <s v="ion.ionescu080@technova.ro"/>
    <x v="7"/>
    <n v="47"/>
    <n v="2.1"/>
    <s v="1–3 ani"/>
    <n v="0"/>
  </r>
  <r>
    <x v="190"/>
    <s v="Marin"/>
    <s v="Vlad"/>
    <s v="M"/>
    <d v="1977-12-11T00:00:00"/>
    <d v="2023-01-27T00:00:00"/>
    <n v="20"/>
    <s v="Key Account Manager"/>
    <x v="1"/>
    <s v="București"/>
    <s v="Full-time"/>
    <n v="5950"/>
    <s v="Plecat"/>
    <d v="2025-05-29T00:00:00"/>
    <s v="Echilibru viață-muncă"/>
    <s v="vlad.marin031@technova.ro"/>
    <x v="4"/>
    <n v="48"/>
    <n v="2.2999999999999998"/>
    <s v="1–3 ani"/>
    <n v="1"/>
  </r>
  <r>
    <x v="191"/>
    <s v="Preda"/>
    <s v="Cristian"/>
    <s v="M"/>
    <d v="1989-12-05T00:00:00"/>
    <d v="2020-09-18T00:00:00"/>
    <n v="10"/>
    <s v="DevOps Engineer"/>
    <x v="1"/>
    <s v="București"/>
    <s v="Full-time"/>
    <n v="7100"/>
    <s v="Plecat"/>
    <d v="2023-11-03T00:00:00"/>
    <s v="Echilibru viață-muncă"/>
    <s v="cristian.preda012@technova.ro"/>
    <x v="2"/>
    <n v="36"/>
    <n v="3.1"/>
    <s v="3–5 ani"/>
    <n v="1"/>
  </r>
  <r>
    <x v="192"/>
    <s v="Dinu"/>
    <s v="Andrei"/>
    <s v="M"/>
    <d v="1986-10-26T00:00:00"/>
    <d v="2024-04-09T00:00:00"/>
    <n v="60"/>
    <s v="Operator Call Center"/>
    <x v="1"/>
    <s v="Iași"/>
    <s v="Full-time"/>
    <n v="5550"/>
    <s v="Activ"/>
    <m/>
    <m/>
    <s v="andrei.dinu350@technova.ro"/>
    <x v="0"/>
    <n v="39"/>
    <n v="1.7"/>
    <s v="1–3 ani"/>
    <n v="0"/>
  </r>
  <r>
    <x v="193"/>
    <s v="Neagu"/>
    <s v="Raluca"/>
    <s v="F"/>
    <d v="1975-02-11T00:00:00"/>
    <d v="2021-04-27T00:00:00"/>
    <n v="60"/>
    <s v="Specialist Suport"/>
    <x v="2"/>
    <s v="Iași"/>
    <s v="Full-time"/>
    <n v="6550"/>
    <s v="Activ"/>
    <m/>
    <m/>
    <s v="raluca.neagu469@technova.ro"/>
    <x v="0"/>
    <n v="50"/>
    <n v="4.7"/>
    <s v="3–5 ani"/>
    <n v="0"/>
  </r>
  <r>
    <x v="194"/>
    <s v="Munteanu"/>
    <s v="Sorin"/>
    <s v="M"/>
    <d v="1991-03-10T00:00:00"/>
    <d v="2024-09-30T00:00:00"/>
    <n v="70"/>
    <s v="Coordonator Logistică"/>
    <x v="3"/>
    <s v="Timișoara"/>
    <s v="Full-time"/>
    <n v="3450"/>
    <s v="Activ"/>
    <m/>
    <m/>
    <s v="sorin.munteanu271@technova.ro"/>
    <x v="1"/>
    <n v="34"/>
    <n v="1.3"/>
    <s v="1–3 ani"/>
    <n v="0"/>
  </r>
  <r>
    <x v="195"/>
    <s v="Ciobanu"/>
    <s v="Stefan"/>
    <s v="M"/>
    <d v="1994-04-05T00:00:00"/>
    <d v="2016-11-03T00:00:00"/>
    <n v="70"/>
    <s v="Coordonator Logistică"/>
    <x v="1"/>
    <s v="București"/>
    <s v="Full-time"/>
    <n v="4250"/>
    <s v="Activ"/>
    <m/>
    <m/>
    <s v="stefan.ciobanu116@technova.ro"/>
    <x v="1"/>
    <n v="31"/>
    <n v="9.1999999999999993"/>
    <s v="&gt; 5 ani"/>
    <n v="0"/>
  </r>
  <r>
    <x v="196"/>
    <s v="Dinu"/>
    <s v="Robert"/>
    <s v="M"/>
    <d v="1985-12-19T00:00:00"/>
    <d v="2022-08-24T00:00:00"/>
    <n v="20"/>
    <s v="Agent Vânzări"/>
    <x v="3"/>
    <s v="București"/>
    <s v="Full-time"/>
    <n v="4500"/>
    <s v="Activ"/>
    <m/>
    <m/>
    <s v="robert.dinu026@technova.ro"/>
    <x v="4"/>
    <n v="40"/>
    <n v="3.4"/>
    <s v="3–5 ani"/>
    <n v="0"/>
  </r>
  <r>
    <x v="197"/>
    <s v="Ionescu"/>
    <s v="Oana"/>
    <s v="F"/>
    <d v="1995-03-28T00:00:00"/>
    <d v="2020-09-20T00:00:00"/>
    <n v="50"/>
    <s v="Contabil"/>
    <x v="3"/>
    <s v="București"/>
    <s v="Full-time"/>
    <n v="4200"/>
    <s v="Activ"/>
    <m/>
    <m/>
    <s v="oana.ionescu196@technova.ro"/>
    <x v="5"/>
    <n v="30"/>
    <n v="5.3"/>
    <s v="&gt; 5 ani"/>
    <n v="0"/>
  </r>
  <r>
    <x v="198"/>
    <s v="Barbu"/>
    <s v="Gabriela"/>
    <s v="F"/>
    <d v="1984-02-24T00:00:00"/>
    <d v="2016-09-17T00:00:00"/>
    <n v="70"/>
    <s v="Specialist Operațiuni"/>
    <x v="3"/>
    <s v="Timișoara"/>
    <s v="Full-time"/>
    <n v="3500"/>
    <s v="Activ"/>
    <m/>
    <m/>
    <s v="gabriela.barbu392@technova.ro"/>
    <x v="1"/>
    <n v="41"/>
    <n v="9.3000000000000007"/>
    <s v="&gt; 5 ani"/>
    <n v="0"/>
  </r>
  <r>
    <x v="199"/>
    <s v="Cozma"/>
    <s v="Sorin"/>
    <s v="M"/>
    <d v="2004-07-28T00:00:00"/>
    <d v="2024-12-15T00:00:00"/>
    <n v="80"/>
    <s v="Consilier Juridic"/>
    <x v="3"/>
    <s v="București"/>
    <s v="Full-time"/>
    <n v="5200"/>
    <s v="Activ"/>
    <m/>
    <m/>
    <s v="sorin.cozma066@technova.ro"/>
    <x v="7"/>
    <n v="21"/>
    <n v="1"/>
    <s v="1–3 ani"/>
    <n v="0"/>
  </r>
  <r>
    <x v="200"/>
    <s v="Oprea"/>
    <s v="Mihaela"/>
    <s v="F"/>
    <d v="1989-03-22T00:00:00"/>
    <d v="2018-03-05T00:00:00"/>
    <n v="40"/>
    <s v="Recruiter"/>
    <x v="2"/>
    <s v="București"/>
    <s v="Full-time"/>
    <n v="7950"/>
    <s v="Activ"/>
    <m/>
    <m/>
    <s v="mihaela.oprea290@technova.ro"/>
    <x v="6"/>
    <n v="36"/>
    <n v="7.8"/>
    <s v="&gt; 5 ani"/>
    <n v="0"/>
  </r>
  <r>
    <x v="201"/>
    <s v="Sandu"/>
    <s v="Ion"/>
    <s v="M"/>
    <d v="1981-01-21T00:00:00"/>
    <d v="2022-06-30T00:00:00"/>
    <n v="60"/>
    <s v="Specialist Suport"/>
    <x v="2"/>
    <s v="Iași"/>
    <s v="Full-time"/>
    <n v="6500"/>
    <s v="Activ"/>
    <m/>
    <m/>
    <s v="ion.sandu046@technova.ro"/>
    <x v="0"/>
    <n v="44"/>
    <n v="3.5"/>
    <s v="3–5 ani"/>
    <n v="0"/>
  </r>
  <r>
    <x v="202"/>
    <s v="Constantin"/>
    <s v="Irina"/>
    <s v="F"/>
    <d v="1972-08-15T00:00:00"/>
    <d v="2019-07-11T00:00:00"/>
    <n v="10"/>
    <s v="DevOps Engineer"/>
    <x v="2"/>
    <s v="București"/>
    <s v="Full-time"/>
    <n v="10900"/>
    <s v="Activ"/>
    <m/>
    <m/>
    <s v="irina.constantin400@technova.ro"/>
    <x v="2"/>
    <n v="53"/>
    <n v="6.5"/>
    <s v="&gt; 5 ani"/>
    <n v="0"/>
  </r>
  <r>
    <x v="203"/>
    <s v="Ciobanu"/>
    <s v="Radu"/>
    <s v="M"/>
    <d v="1985-01-06T00:00:00"/>
    <d v="2023-04-01T00:00:00"/>
    <n v="60"/>
    <s v="Specialist Suport"/>
    <x v="3"/>
    <s v="București"/>
    <s v="Full-time"/>
    <n v="2300"/>
    <s v="Activ"/>
    <m/>
    <m/>
    <s v="radu.ciobanu393@technova.ro"/>
    <x v="0"/>
    <n v="40"/>
    <n v="2.8"/>
    <s v="1–3 ani"/>
    <n v="0"/>
  </r>
  <r>
    <x v="204"/>
    <s v="Rusu"/>
    <s v="Alexandru"/>
    <s v="M"/>
    <d v="1984-07-10T00:00:00"/>
    <d v="2016-07-30T00:00:00"/>
    <n v="60"/>
    <s v="Operator Call Center"/>
    <x v="1"/>
    <s v="Iași"/>
    <s v="Full-time"/>
    <n v="4350"/>
    <s v="Activ"/>
    <m/>
    <m/>
    <s v="alexandru.rusu252@technova.ro"/>
    <x v="0"/>
    <n v="41"/>
    <n v="9.4"/>
    <s v="&gt; 5 ani"/>
    <n v="0"/>
  </r>
  <r>
    <x v="205"/>
    <s v="Nistor"/>
    <s v="Andreea"/>
    <s v="F"/>
    <d v="1987-11-05T00:00:00"/>
    <d v="2021-01-28T00:00:00"/>
    <n v="20"/>
    <s v="Agent Vânzări"/>
    <x v="2"/>
    <s v="București"/>
    <s v="Full-time"/>
    <n v="6950"/>
    <s v="Activ"/>
    <m/>
    <m/>
    <m/>
    <x v="4"/>
    <n v="38"/>
    <n v="4.9000000000000004"/>
    <s v="3–5 ani"/>
    <n v="0"/>
  </r>
  <r>
    <x v="206"/>
    <s v="Toma"/>
    <s v="Florin"/>
    <s v="M"/>
    <d v="1989-01-06T00:00:00"/>
    <d v="2024-07-28T00:00:00"/>
    <n v="70"/>
    <s v="Specialist Operațiuni"/>
    <x v="1"/>
    <s v="Timișoara"/>
    <s v="Part-time"/>
    <n v="5200"/>
    <s v="Activ"/>
    <m/>
    <m/>
    <s v="florin.toma474@technova.ro"/>
    <x v="1"/>
    <n v="36"/>
    <n v="1.4"/>
    <s v="1–3 ani"/>
    <n v="0"/>
  </r>
  <r>
    <x v="207"/>
    <s v="Matei"/>
    <s v="Denisa"/>
    <s v="F"/>
    <d v="1996-09-14T00:00:00"/>
    <d v="2024-08-15T00:00:00"/>
    <n v="10"/>
    <s v="Tester QA"/>
    <x v="1"/>
    <s v="București"/>
    <s v="Full-time"/>
    <n v="7750"/>
    <s v="Activ"/>
    <m/>
    <m/>
    <s v="denisa.matei069@technova.ro"/>
    <x v="2"/>
    <n v="29"/>
    <n v="1.4"/>
    <s v="1–3 ani"/>
    <n v="0"/>
  </r>
  <r>
    <x v="208"/>
    <s v="Dobre"/>
    <s v="Mihaela"/>
    <s v="F"/>
    <d v="1986-09-01T00:00:00"/>
    <d v="2023-06-30T00:00:00"/>
    <n v="30"/>
    <s v="Specialist Marketing"/>
    <x v="2"/>
    <s v="București"/>
    <s v="Full-time"/>
    <n v="7250"/>
    <s v="Activ"/>
    <m/>
    <m/>
    <s v="mihaela.dobre367@technova.ro"/>
    <x v="3"/>
    <n v="39"/>
    <n v="2.5"/>
    <s v="1–3 ani"/>
    <n v="0"/>
  </r>
  <r>
    <x v="209"/>
    <s v="Tudor"/>
    <s v="Raluca"/>
    <s v="F"/>
    <d v="1987-05-16T00:00:00"/>
    <d v="2020-05-17T00:00:00"/>
    <n v="40"/>
    <s v="Recruiter"/>
    <x v="1"/>
    <s v="București"/>
    <s v="Full-time"/>
    <n v="5500"/>
    <s v="Activ"/>
    <m/>
    <m/>
    <s v="raluca.tudor078@technova.ro"/>
    <x v="6"/>
    <n v="38"/>
    <n v="5.6"/>
    <s v="&gt; 5 ani"/>
    <n v="0"/>
  </r>
  <r>
    <x v="210"/>
    <s v="Lungu"/>
    <s v="Roxana"/>
    <s v="F"/>
    <d v="1989-08-09T00:00:00"/>
    <d v="2021-10-20T00:00:00"/>
    <n v="80"/>
    <s v="Consilier Juridic"/>
    <x v="1"/>
    <s v="București"/>
    <s v="Full-time"/>
    <n v="8550"/>
    <s v="Plecat"/>
    <d v="2022-04-17T00:00:00"/>
    <s v="Echilibru viață-muncă"/>
    <s v="roxana.lungu295@technova.ro"/>
    <x v="7"/>
    <n v="36"/>
    <n v="0.5"/>
    <s v="&lt; 1 an"/>
    <n v="1"/>
  </r>
  <r>
    <x v="211"/>
    <s v="Florea"/>
    <s v="Ionuț"/>
    <s v="M"/>
    <d v="1982-02-13T00:00:00"/>
    <d v="2016-01-21T00:00:00"/>
    <n v="20"/>
    <s v="Manager Vânzări"/>
    <x v="0"/>
    <s v="București"/>
    <s v="Full-time"/>
    <n v="9650"/>
    <s v="Activ"/>
    <m/>
    <m/>
    <s v="ionut.florea437@technova.ro"/>
    <x v="4"/>
    <n v="43"/>
    <n v="9.9"/>
    <s v="&gt; 5 ani"/>
    <n v="0"/>
  </r>
  <r>
    <x v="212"/>
    <s v="Neagu"/>
    <s v="Adrian"/>
    <s v="M"/>
    <d v="1990-04-27T00:00:00"/>
    <d v="2022-07-31T00:00:00"/>
    <n v="20"/>
    <s v="Key Account Manager"/>
    <x v="2"/>
    <s v="București"/>
    <s v="Part-time"/>
    <n v="6800"/>
    <s v="Activ"/>
    <m/>
    <m/>
    <s v="adrian.neagu280@technova.ro"/>
    <x v="4"/>
    <n v="35"/>
    <n v="3.4"/>
    <s v="3–5 ani"/>
    <n v="0"/>
  </r>
  <r>
    <x v="213"/>
    <s v="Popa"/>
    <s v="Ioana"/>
    <s v="F"/>
    <d v="1991-03-17T00:00:00"/>
    <d v="2016-12-30T00:00:00"/>
    <n v="80"/>
    <s v="Consilier Juridic"/>
    <x v="3"/>
    <s v="București"/>
    <s v="Full-time"/>
    <n v="4950"/>
    <s v="Activ"/>
    <m/>
    <m/>
    <s v="ioana.popa059@technova.ro"/>
    <x v="7"/>
    <n v="34"/>
    <n v="9"/>
    <s v="&gt; 5 ani"/>
    <n v="0"/>
  </r>
  <r>
    <x v="214"/>
    <s v="Popescu"/>
    <s v="Denisa"/>
    <s v="F"/>
    <d v="1995-12-11T00:00:00"/>
    <d v="2018-04-15T00:00:00"/>
    <n v="20"/>
    <s v="Agent Vânzări"/>
    <x v="2"/>
    <s v="Timișoara"/>
    <s v="Full-time"/>
    <n v="7500"/>
    <s v="Activ"/>
    <m/>
    <m/>
    <s v="denisa.popescu126@technova.ro"/>
    <x v="4"/>
    <n v="30"/>
    <n v="7.7"/>
    <s v="&gt; 5 ani"/>
    <n v="0"/>
  </r>
  <r>
    <x v="215"/>
    <s v="Marin"/>
    <s v="Daniel"/>
    <s v="M"/>
    <d v="1985-09-05T00:00:00"/>
    <d v="2023-06-26T00:00:00"/>
    <n v="80"/>
    <s v="Consilier Juridic"/>
    <x v="3"/>
    <s v="București"/>
    <s v="Part-time"/>
    <n v="5450"/>
    <s v="Plecat"/>
    <d v="2025-04-30T00:00:00"/>
    <s v="Echilibru viață-muncă"/>
    <s v="daniel.marin043@technova.ro"/>
    <x v="7"/>
    <n v="40"/>
    <n v="1.8"/>
    <s v="1–3 ani"/>
    <n v="1"/>
  </r>
  <r>
    <x v="216"/>
    <s v="Gheorghe"/>
    <s v="Alexandru"/>
    <s v="M"/>
    <d v="1983-06-15T00:00:00"/>
    <d v="2022-11-01T00:00:00"/>
    <n v="60"/>
    <s v="Operator Call Center"/>
    <x v="2"/>
    <s v="Iași"/>
    <s v="Full-time"/>
    <n v="5900"/>
    <s v="Activ"/>
    <m/>
    <m/>
    <s v="alexandru.gheorghe005@technova.ro"/>
    <x v="0"/>
    <n v="42"/>
    <n v="3.2"/>
    <s v="3–5 ani"/>
    <n v="0"/>
  </r>
  <r>
    <x v="217"/>
    <s v="Ionescu"/>
    <s v="Diana"/>
    <s v="F"/>
    <d v="1982-06-13T00:00:00"/>
    <d v="2016-06-10T00:00:00"/>
    <n v="70"/>
    <s v="Coordonator Logistică"/>
    <x v="1"/>
    <s v="București"/>
    <s v="Full-time"/>
    <n v="4300"/>
    <s v="Activ"/>
    <m/>
    <m/>
    <s v="diana.ionescu122@technova.ro"/>
    <x v="1"/>
    <n v="43"/>
    <n v="9.6"/>
    <s v="&gt; 5 ani"/>
    <n v="0"/>
  </r>
  <r>
    <x v="218"/>
    <s v="Barbu"/>
    <s v="Roxana"/>
    <s v="F"/>
    <d v="1995-01-26T00:00:00"/>
    <d v="2018-07-30T00:00:00"/>
    <n v="70"/>
    <s v="Specialist Operațiuni"/>
    <x v="1"/>
    <s v="Timișoara"/>
    <s v="Full-time"/>
    <n v="5125"/>
    <s v="Activ"/>
    <m/>
    <m/>
    <s v="roxana.barbu169@technova.ro"/>
    <x v="1"/>
    <n v="30"/>
    <n v="7.4"/>
    <s v="&gt; 5 ani"/>
    <n v="0"/>
  </r>
  <r>
    <x v="219"/>
    <s v="Constantin"/>
    <s v="Irina"/>
    <s v="F"/>
    <d v="1996-12-13T00:00:00"/>
    <d v="2018-03-27T00:00:00"/>
    <n v="20"/>
    <s v="Key Account Manager"/>
    <x v="3"/>
    <s v="București"/>
    <s v="Full-time"/>
    <n v="3800"/>
    <s v="Plecat"/>
    <d v="2023-10-26T00:00:00"/>
    <s v="Echilibru viață-muncă"/>
    <s v="irina.constantin141@technova.ro"/>
    <x v="4"/>
    <n v="29"/>
    <n v="5.6"/>
    <s v="&gt; 5 ani"/>
    <n v="1"/>
  </r>
  <r>
    <x v="220"/>
    <s v="Barbu"/>
    <s v="Ioana"/>
    <s v="F"/>
    <d v="1995-08-25T00:00:00"/>
    <d v="2018-05-18T00:00:00"/>
    <n v="30"/>
    <s v="Content Creator"/>
    <x v="3"/>
    <s v="București"/>
    <s v="Full-time"/>
    <n v="4250"/>
    <s v="Activ"/>
    <m/>
    <m/>
    <s v="ioana.barbu231@technova.ro"/>
    <x v="3"/>
    <n v="30"/>
    <n v="7.6"/>
    <s v="&gt; 5 ani"/>
    <n v="0"/>
  </r>
  <r>
    <x v="221"/>
    <s v="Nistor"/>
    <s v="Andreea"/>
    <s v="F"/>
    <d v="1989-01-28T00:00:00"/>
    <d v="2019-06-26T00:00:00"/>
    <n v="20"/>
    <s v="Key Account Manager"/>
    <x v="3"/>
    <s v="București"/>
    <s v="Full-time"/>
    <n v="3900"/>
    <s v="Activ"/>
    <m/>
    <m/>
    <s v="andreea.nistor430@technova.ro"/>
    <x v="4"/>
    <n v="36"/>
    <n v="6.5"/>
    <s v="&gt; 5 ani"/>
    <n v="0"/>
  </r>
  <r>
    <x v="222"/>
    <s v="Gheorghe"/>
    <s v="Elena"/>
    <s v="F"/>
    <d v="1995-01-17T00:00:00"/>
    <d v="2017-01-30T00:00:00"/>
    <n v="70"/>
    <s v="Specialist Operațiuni"/>
    <x v="2"/>
    <s v="București"/>
    <s v="Full-time"/>
    <n v="6500"/>
    <s v="Activ"/>
    <m/>
    <m/>
    <s v="elena.gheorghe321@technova.ro"/>
    <x v="1"/>
    <n v="30"/>
    <n v="8.9"/>
    <s v="&gt; 5 ani"/>
    <n v="0"/>
  </r>
  <r>
    <x v="223"/>
    <s v="Ciobanu"/>
    <s v="Cătălin"/>
    <s v="M"/>
    <d v="1989-06-20T00:00:00"/>
    <d v="2020-11-27T00:00:00"/>
    <n v="10"/>
    <s v="Tester QA"/>
    <x v="1"/>
    <s v="București"/>
    <s v="Full-time"/>
    <n v="8300"/>
    <s v="Activ"/>
    <m/>
    <m/>
    <s v="catalin.ciobanu110@technova.ro"/>
    <x v="2"/>
    <n v="36"/>
    <n v="5.0999999999999996"/>
    <s v="&gt; 5 ani"/>
    <n v="0"/>
  </r>
  <r>
    <x v="224"/>
    <s v="Gheorghe"/>
    <s v="Bianca"/>
    <s v="F"/>
    <d v="1987-12-22T00:00:00"/>
    <d v="2022-12-30T00:00:00"/>
    <n v="20"/>
    <s v="Key Account Manager"/>
    <x v="3"/>
    <s v="București"/>
    <s v="Full-time"/>
    <n v="3400"/>
    <s v="Activ"/>
    <m/>
    <m/>
    <s v="bianca.gheorghe119@technova.ro"/>
    <x v="4"/>
    <n v="38"/>
    <n v="3"/>
    <s v="3–5 ani"/>
    <n v="0"/>
  </r>
  <r>
    <x v="225"/>
    <s v="Lungu"/>
    <s v="Andreea"/>
    <s v="F"/>
    <d v="1997-10-15T00:00:00"/>
    <d v="2019-03-13T00:00:00"/>
    <n v="60"/>
    <s v="Operator Call Center"/>
    <x v="1"/>
    <s v="Iași"/>
    <s v="Full-time"/>
    <n v="4100"/>
    <s v="Plecat"/>
    <d v="2023-06-24T00:00:00"/>
    <s v="Salariu mai bun în altă parte"/>
    <s v="andreea.lungu206@technova.ro"/>
    <x v="0"/>
    <n v="28"/>
    <n v="4.3"/>
    <s v="3–5 ani"/>
    <n v="1"/>
  </r>
  <r>
    <x v="226"/>
    <s v="Ene"/>
    <s v="Diana"/>
    <s v="F"/>
    <d v="1988-04-14T00:00:00"/>
    <d v="2017-08-15T00:00:00"/>
    <n v="50"/>
    <s v="Manager Financiar"/>
    <x v="0"/>
    <s v="Iași"/>
    <s v="Full-time"/>
    <n v="12850"/>
    <s v="Activ"/>
    <m/>
    <m/>
    <s v="diana.ene303@technova.ro"/>
    <x v="5"/>
    <n v="37"/>
    <n v="8.4"/>
    <s v="&gt; 5 ani"/>
    <n v="0"/>
  </r>
  <r>
    <x v="227"/>
    <s v="Ene"/>
    <s v="Radu"/>
    <s v="M"/>
    <d v="1983-03-10T00:00:00"/>
    <d v="2024-02-07T00:00:00"/>
    <n v="10"/>
    <s v="Manager IT"/>
    <x v="0"/>
    <s v="București"/>
    <s v="Full-time"/>
    <n v="15300"/>
    <s v="Activ"/>
    <m/>
    <m/>
    <s v="radu.ene307@technova.ro"/>
    <x v="2"/>
    <n v="42"/>
    <n v="1.9"/>
    <s v="1–3 ani"/>
    <n v="0"/>
  </r>
  <r>
    <x v="228"/>
    <s v="Gheorghe"/>
    <s v="Robert"/>
    <s v="M"/>
    <d v="1980-05-12T00:00:00"/>
    <d v="2025-08-27T00:00:00"/>
    <n v="50"/>
    <s v="Analist Financiar"/>
    <x v="2"/>
    <s v="Iași"/>
    <s v="Full-time"/>
    <n v="10300"/>
    <s v="Activ"/>
    <m/>
    <m/>
    <s v="robert.gheorghe007@technova.ro"/>
    <x v="5"/>
    <n v="45"/>
    <n v="0.3"/>
    <s v="&lt; 1 an"/>
    <n v="0"/>
  </r>
  <r>
    <x v="229"/>
    <s v="Marin"/>
    <s v="Robert"/>
    <s v="M"/>
    <d v="1991-10-09T00:00:00"/>
    <d v="2025-04-17T00:00:00"/>
    <n v="70"/>
    <s v="Specialist Operațiuni"/>
    <x v="3"/>
    <s v="Timișoara"/>
    <s v="Full-time"/>
    <n v="3300"/>
    <s v="Plecat"/>
    <d v="2025-12-01T00:00:00"/>
    <s v="Nespecificat"/>
    <s v="robert.marin355@technova.ro"/>
    <x v="1"/>
    <n v="34"/>
    <n v="0.6"/>
    <s v="&lt; 1 an"/>
    <n v="1"/>
  </r>
  <r>
    <x v="230"/>
    <s v="Dobre"/>
    <s v="Raluca"/>
    <s v="F"/>
    <d v="2000-06-28T00:00:00"/>
    <d v="2021-10-07T00:00:00"/>
    <n v="20"/>
    <s v="Key Account Manager"/>
    <x v="3"/>
    <s v="Cluj-Napoca"/>
    <s v="Full-time"/>
    <n v="3400"/>
    <s v="Plecat"/>
    <d v="2023-05-10T00:00:00"/>
    <s v="Relația cu managerul"/>
    <s v="raluca.dobre255@technova.ro"/>
    <x v="4"/>
    <n v="25"/>
    <n v="1.6"/>
    <s v="1–3 ani"/>
    <n v="1"/>
  </r>
  <r>
    <x v="231"/>
    <s v="Ionescu"/>
    <s v="Diana"/>
    <s v="F"/>
    <d v="2001-06-08T00:00:00"/>
    <d v="2022-01-13T00:00:00"/>
    <n v="40"/>
    <s v="Recruiter"/>
    <x v="3"/>
    <s v="București"/>
    <s v="Full-time"/>
    <n v="4100"/>
    <s v="Activ"/>
    <m/>
    <m/>
    <s v="diana.ionescu415@technova.ro"/>
    <x v="6"/>
    <n v="24"/>
    <n v="4"/>
    <s v="3–5 ani"/>
    <n v="0"/>
  </r>
  <r>
    <x v="232"/>
    <s v="Tudor"/>
    <s v="Sorin"/>
    <s v="M"/>
    <d v="1988-08-17T00:00:00"/>
    <d v="2019-07-16T00:00:00"/>
    <n v="50"/>
    <s v="Analist Financiar"/>
    <x v="1"/>
    <s v="Cluj-Napoca"/>
    <s v="Part-time"/>
    <n v="7850"/>
    <s v="Plecat"/>
    <d v="2021-01-27T00:00:00"/>
    <s v="Salariu mai bun în altă parte"/>
    <s v="sorin.tudor238@technova.ro"/>
    <x v="5"/>
    <n v="37"/>
    <n v="1.5"/>
    <s v="1–3 ani"/>
    <n v="1"/>
  </r>
  <r>
    <x v="233"/>
    <s v="Constantin"/>
    <s v="Sorin"/>
    <s v="M"/>
    <d v="1986-12-18T00:00:00"/>
    <d v="2020-05-21T00:00:00"/>
    <n v="20"/>
    <s v="Key Account Manager"/>
    <x v="1"/>
    <s v="București"/>
    <s v="Full-time"/>
    <n v="6650"/>
    <s v="Activ"/>
    <m/>
    <m/>
    <s v="sorin.constantin411@technova.ro"/>
    <x v="4"/>
    <n v="39"/>
    <n v="5.6"/>
    <s v="&gt; 5 ani"/>
    <n v="0"/>
  </r>
  <r>
    <x v="234"/>
    <s v="Matei"/>
    <s v="Ioana"/>
    <s v="F"/>
    <d v="1985-03-05T00:00:00"/>
    <d v="2020-06-20T00:00:00"/>
    <n v="60"/>
    <s v="Specialist Suport"/>
    <x v="1"/>
    <s v="Iași"/>
    <s v="Full-time"/>
    <n v="4700"/>
    <s v="Activ"/>
    <m/>
    <m/>
    <s v="ioana.matei248@technova.ro"/>
    <x v="0"/>
    <n v="40"/>
    <n v="5.5"/>
    <s v="&gt; 5 ani"/>
    <n v="0"/>
  </r>
  <r>
    <x v="235"/>
    <s v="Gheorghe"/>
    <s v="Cristina"/>
    <s v="F"/>
    <d v="1977-06-01T00:00:00"/>
    <d v="2020-12-02T00:00:00"/>
    <n v="60"/>
    <s v="Manager Suport Clienți"/>
    <x v="0"/>
    <s v="Iași"/>
    <s v="Full-time"/>
    <n v="8000"/>
    <s v="Activ"/>
    <m/>
    <m/>
    <s v="cristina.gheorghe390@technova.ro"/>
    <x v="0"/>
    <n v="48"/>
    <n v="5.0999999999999996"/>
    <s v="&gt; 5 ani"/>
    <n v="0"/>
  </r>
  <r>
    <x v="236"/>
    <s v="Moldovan"/>
    <s v="Sorin"/>
    <s v="M"/>
    <d v="1997-07-01T00:00:00"/>
    <d v="2020-06-01T00:00:00"/>
    <n v="20"/>
    <s v="Key Account Manager"/>
    <x v="3"/>
    <s v="București"/>
    <s v="Full-time"/>
    <n v="3750"/>
    <s v="Plecat"/>
    <d v="2025-01-30T00:00:00"/>
    <s v="Lipsa oportunităților de promovare"/>
    <s v="sorin.moldovan022@technova.ro"/>
    <x v="4"/>
    <n v="28"/>
    <n v="4.7"/>
    <s v="3–5 ani"/>
    <n v="1"/>
  </r>
  <r>
    <x v="237"/>
    <s v="Dumitru"/>
    <s v="Cristina"/>
    <s v="F"/>
    <d v="1994-05-22T00:00:00"/>
    <d v="2016-05-21T00:00:00"/>
    <n v="30"/>
    <s v="Specialist Marketing"/>
    <x v="2"/>
    <s v="Timișoara"/>
    <s v="Part-time"/>
    <n v="9250"/>
    <s v="Activ"/>
    <m/>
    <m/>
    <s v="cristina.dumitru431@technova.ro"/>
    <x v="3"/>
    <n v="31"/>
    <n v="9.6"/>
    <s v="&gt; 5 ani"/>
    <n v="0"/>
  </r>
  <r>
    <x v="238"/>
    <s v="Ionescu"/>
    <s v="Oana"/>
    <s v="F"/>
    <d v="1981-09-03T00:00:00"/>
    <d v="2020-03-27T00:00:00"/>
    <n v="60"/>
    <s v="Operator Call Center"/>
    <x v="2"/>
    <s v="București"/>
    <s v="Full-time"/>
    <n v="5500"/>
    <s v="Plecat"/>
    <d v="2022-03-16T00:00:00"/>
    <s v="Salariu mai bun în altă parte"/>
    <s v="oana.ionescu004@technova.ro"/>
    <x v="0"/>
    <n v="44"/>
    <n v="2"/>
    <s v="1–3 ani"/>
    <n v="1"/>
  </r>
  <r>
    <x v="239"/>
    <s v="Dumitru"/>
    <s v="Bianca"/>
    <s v="F"/>
    <d v="1980-07-26T00:00:00"/>
    <d v="2023-03-10T00:00:00"/>
    <n v="70"/>
    <s v="Coordonator Logistică"/>
    <x v="2"/>
    <s v="Timișoara"/>
    <s v="Full-time"/>
    <n v="6800"/>
    <s v="Activ"/>
    <m/>
    <m/>
    <s v="bianca.dumitru260@technova.ro"/>
    <x v="1"/>
    <n v="45"/>
    <n v="2.8"/>
    <s v="1–3 ani"/>
    <n v="0"/>
  </r>
  <r>
    <x v="240"/>
    <s v="Munteanu"/>
    <s v="Irina"/>
    <s v="F"/>
    <d v="1981-02-08T00:00:00"/>
    <d v="2019-01-07T00:00:00"/>
    <n v="70"/>
    <s v="Specialist Operațiuni"/>
    <x v="1"/>
    <s v="Timișoara"/>
    <s v="Part-time"/>
    <n v="4000"/>
    <s v="Activ"/>
    <m/>
    <m/>
    <s v="irina.munteanu212@technova.ro"/>
    <x v="1"/>
    <n v="44"/>
    <n v="7"/>
    <s v="&gt; 5 ani"/>
    <n v="0"/>
  </r>
  <r>
    <x v="241"/>
    <s v="Preda"/>
    <s v="Vlad"/>
    <s v="M"/>
    <d v="1997-03-12T00:00:00"/>
    <d v="2025-04-07T00:00:00"/>
    <n v="10"/>
    <s v="Tester QA"/>
    <x v="3"/>
    <s v="Iași"/>
    <s v="Full-time"/>
    <n v="6650"/>
    <s v="Activ"/>
    <m/>
    <m/>
    <s v="vlad.preda123@technova.ro"/>
    <x v="2"/>
    <n v="28"/>
    <n v="0.7"/>
    <s v="&lt; 1 an"/>
    <n v="0"/>
  </r>
  <r>
    <x v="242"/>
    <s v="Neagu"/>
    <s v="Irina"/>
    <s v="F"/>
    <d v="1983-01-11T00:00:00"/>
    <d v="2018-01-05T00:00:00"/>
    <n v="50"/>
    <s v="Contabil"/>
    <x v="3"/>
    <s v="Iași"/>
    <s v="Full-time"/>
    <n v="4700"/>
    <s v="Activ"/>
    <m/>
    <m/>
    <s v="irina.neagu079@technova.ro"/>
    <x v="5"/>
    <n v="42"/>
    <n v="8"/>
    <s v="&gt; 5 ani"/>
    <n v="0"/>
  </r>
  <r>
    <x v="243"/>
    <s v="Oprea"/>
    <s v="Alexandru"/>
    <s v="M"/>
    <d v="1993-02-20T00:00:00"/>
    <d v="2019-05-25T00:00:00"/>
    <n v="20"/>
    <s v="Key Account Manager"/>
    <x v="2"/>
    <s v="București"/>
    <s v="Full-time"/>
    <n v="8400"/>
    <s v="Plecat"/>
    <d v="2025-12-29T00:00:00"/>
    <s v="Lipsa oportunităților de promovare"/>
    <s v="alexandru.oprea388@technova.ro"/>
    <x v="4"/>
    <n v="32"/>
    <n v="6.6"/>
    <s v="&gt; 5 ani"/>
    <n v="1"/>
  </r>
  <r>
    <x v="244"/>
    <s v="Neagu"/>
    <s v="Mihaela"/>
    <s v="F"/>
    <d v="1992-11-18T00:00:00"/>
    <d v="2025-02-25T00:00:00"/>
    <n v="30"/>
    <s v="Specialist Marketing"/>
    <x v="1"/>
    <s v="Iași"/>
    <s v="Full-time"/>
    <n v="6700"/>
    <s v="Activ"/>
    <m/>
    <m/>
    <s v="mihaela.neagu468@technova.ro"/>
    <x v="3"/>
    <n v="33"/>
    <n v="0.8"/>
    <s v="&lt; 1 an"/>
    <n v="0"/>
  </r>
  <r>
    <x v="245"/>
    <s v="Matei"/>
    <s v="Stefan"/>
    <s v="M"/>
    <d v="1992-02-23T00:00:00"/>
    <d v="2025-07-25T00:00:00"/>
    <n v="70"/>
    <s v="Coordonator Logistică"/>
    <x v="2"/>
    <s v="Timișoara"/>
    <s v="Full-time"/>
    <n v="7300"/>
    <s v="Activ"/>
    <m/>
    <m/>
    <s v="stefan.matei219@technova.ro"/>
    <x v="1"/>
    <n v="33"/>
    <n v="0.4"/>
    <s v="&lt; 1 an"/>
    <n v="0"/>
  </r>
  <r>
    <x v="246"/>
    <s v="Stan"/>
    <s v="Denisa"/>
    <s v="F"/>
    <d v="1987-02-10T00:00:00"/>
    <d v="2020-01-14T00:00:00"/>
    <n v="70"/>
    <s v="Specialist Operațiuni"/>
    <x v="1"/>
    <s v="București"/>
    <s v="Full-time"/>
    <n v="5250"/>
    <s v="Activ"/>
    <m/>
    <m/>
    <s v="denisa.stan266@technova.ro"/>
    <x v="1"/>
    <n v="38"/>
    <n v="6"/>
    <s v="&gt; 5 ani"/>
    <n v="0"/>
  </r>
  <r>
    <x v="247"/>
    <s v="Marin"/>
    <s v="Roxana"/>
    <s v="F"/>
    <d v="1989-09-24T00:00:00"/>
    <d v="2023-01-11T00:00:00"/>
    <n v="10"/>
    <s v="DevOps Engineer"/>
    <x v="2"/>
    <s v="București"/>
    <s v="Full-time"/>
    <n v="13000"/>
    <s v="Activ"/>
    <m/>
    <m/>
    <s v="roxana.marin065@technova.ro"/>
    <x v="2"/>
    <n v="36"/>
    <n v="3"/>
    <s v="3–5 ani"/>
    <n v="0"/>
  </r>
  <r>
    <x v="248"/>
    <s v="Ionescu"/>
    <s v="Ioana"/>
    <s v="F"/>
    <d v="2001-09-12T00:00:00"/>
    <d v="2023-01-04T00:00:00"/>
    <n v="60"/>
    <s v="Operator Call Center"/>
    <x v="3"/>
    <s v="Iași"/>
    <s v="Full-time"/>
    <n v="3550"/>
    <s v="Activ"/>
    <m/>
    <m/>
    <s v="ioana.ionescu019@technova.ro"/>
    <x v="0"/>
    <n v="24"/>
    <n v="3"/>
    <s v="3–5 ani"/>
    <n v="0"/>
  </r>
  <r>
    <x v="249"/>
    <s v="Matei"/>
    <s v="Daniel"/>
    <s v="M"/>
    <d v="1996-12-16T00:00:00"/>
    <d v="2024-08-09T00:00:00"/>
    <n v="70"/>
    <s v="Specialist Operațiuni"/>
    <x v="1"/>
    <s v="București"/>
    <s v="Full-time"/>
    <n v="5150"/>
    <s v="Activ"/>
    <m/>
    <m/>
    <s v="daniel.matei343@technova.ro"/>
    <x v="1"/>
    <n v="29"/>
    <n v="1.4"/>
    <s v="1–3 ani"/>
    <n v="0"/>
  </r>
  <r>
    <x v="250"/>
    <s v="Cozma"/>
    <s v="Daniel"/>
    <s v="M"/>
    <d v="1998-07-05T00:00:00"/>
    <d v="2019-02-09T00:00:00"/>
    <n v="20"/>
    <s v="Agent Vânzări"/>
    <x v="1"/>
    <s v="București"/>
    <s v="Full-time"/>
    <n v="5600"/>
    <s v="Plecat"/>
    <d v="2022-09-17T00:00:00"/>
    <s v="Salariu mai bun în altă parte"/>
    <s v="daniel.cozma152@technova.ro"/>
    <x v="4"/>
    <n v="27"/>
    <n v="3.6"/>
    <s v="3–5 ani"/>
    <n v="1"/>
  </r>
  <r>
    <x v="251"/>
    <s v="Ene"/>
    <s v="Roxana"/>
    <s v="F"/>
    <d v="1985-04-13T00:00:00"/>
    <d v="2016-10-06T00:00:00"/>
    <n v="70"/>
    <s v="Coordonator Logistică"/>
    <x v="3"/>
    <s v="Timișoara"/>
    <s v="Full-time"/>
    <n v="3300"/>
    <s v="Activ"/>
    <m/>
    <m/>
    <s v="roxana.ene281@technova.ro"/>
    <x v="1"/>
    <n v="40"/>
    <n v="9.1999999999999993"/>
    <s v="&gt; 5 ani"/>
    <n v="0"/>
  </r>
  <r>
    <x v="252"/>
    <s v="Rusu"/>
    <s v="Adrian"/>
    <s v="M"/>
    <d v="1987-11-15T00:00:00"/>
    <d v="2016-01-21T00:00:00"/>
    <n v="30"/>
    <s v="Specialist Marketing"/>
    <x v="2"/>
    <s v="Cluj-Napoca"/>
    <s v="Full-time"/>
    <n v="8000"/>
    <s v="Plecat"/>
    <d v="2017-03-30T00:00:00"/>
    <s v="Echilibru viață-muncă"/>
    <s v="adrian.rusu164@technova.ro"/>
    <x v="3"/>
    <n v="38"/>
    <n v="1.2"/>
    <s v="1–3 ani"/>
    <n v="1"/>
  </r>
  <r>
    <x v="253"/>
    <s v="Toma"/>
    <s v="Gabriela"/>
    <s v="F"/>
    <d v="1980-11-25T00:00:00"/>
    <d v="2018-09-22T00:00:00"/>
    <n v="60"/>
    <s v="Specialist Suport"/>
    <x v="1"/>
    <s v="București"/>
    <s v="Full-time"/>
    <n v="4200"/>
    <s v="Activ"/>
    <m/>
    <m/>
    <s v="gabriela.toma330@technova.ro"/>
    <x v="0"/>
    <n v="45"/>
    <n v="7.3"/>
    <s v="&gt; 5 ani"/>
    <n v="0"/>
  </r>
  <r>
    <x v="254"/>
    <s v="Lungu"/>
    <s v="Ioana"/>
    <s v="F"/>
    <d v="1979-12-04T00:00:00"/>
    <d v="2024-04-29T00:00:00"/>
    <n v="50"/>
    <s v="Analist Financiar"/>
    <x v="1"/>
    <s v="Iași"/>
    <s v="Full-time"/>
    <n v="7550"/>
    <s v="Activ"/>
    <m/>
    <m/>
    <m/>
    <x v="5"/>
    <n v="46"/>
    <n v="1.7"/>
    <s v="1–3 ani"/>
    <n v="0"/>
  </r>
  <r>
    <x v="255"/>
    <s v="Moldovan"/>
    <s v="Ionuț"/>
    <s v="M"/>
    <d v="1984-03-10T00:00:00"/>
    <d v="2016-09-15T00:00:00"/>
    <n v="10"/>
    <s v="Analist IT"/>
    <x v="3"/>
    <s v="București"/>
    <s v="Part-time"/>
    <n v="6100"/>
    <s v="Activ"/>
    <m/>
    <m/>
    <s v="ionut.moldovan320@technova.ro"/>
    <x v="2"/>
    <n v="41"/>
    <n v="9.3000000000000007"/>
    <s v="&gt; 5 ani"/>
    <n v="0"/>
  </r>
  <r>
    <x v="256"/>
    <s v="Neagu"/>
    <s v="Diana"/>
    <s v="F"/>
    <d v="1990-06-05T00:00:00"/>
    <d v="2023-07-29T00:00:00"/>
    <n v="10"/>
    <s v="Programator"/>
    <x v="2"/>
    <s v="București"/>
    <s v="Full-time"/>
    <n v="14550"/>
    <s v="Activ"/>
    <m/>
    <m/>
    <s v="diana.neagu144@technova.ro"/>
    <x v="2"/>
    <n v="35"/>
    <n v="2.4"/>
    <s v="1–3 ani"/>
    <n v="0"/>
  </r>
  <r>
    <x v="257"/>
    <s v="Ionescu"/>
    <s v="Mihai"/>
    <s v="M"/>
    <d v="1985-08-10T00:00:00"/>
    <d v="2024-02-21T00:00:00"/>
    <n v="70"/>
    <s v="Specialist Operațiuni"/>
    <x v="2"/>
    <s v="Timișoara"/>
    <s v="Full-time"/>
    <n v="9150"/>
    <s v="Plecat"/>
    <d v="2025-05-30T00:00:00"/>
    <s v="Echilibru viață-muncă"/>
    <s v="mihai.ionescu407@technova.ro"/>
    <x v="1"/>
    <n v="40"/>
    <n v="1.3"/>
    <s v="1–3 ani"/>
    <n v="1"/>
  </r>
  <r>
    <x v="258"/>
    <s v="Moldovan"/>
    <s v="Marius"/>
    <s v="M"/>
    <d v="1985-10-28T00:00:00"/>
    <d v="2022-09-06T00:00:00"/>
    <n v="50"/>
    <s v="Contabil"/>
    <x v="1"/>
    <s v="Iași"/>
    <s v="Full-time"/>
    <n v="6300"/>
    <s v="Activ"/>
    <m/>
    <m/>
    <s v="marius.moldovan413@technova.ro"/>
    <x v="5"/>
    <n v="40"/>
    <n v="3.3"/>
    <s v="3–5 ani"/>
    <n v="0"/>
  </r>
  <r>
    <x v="259"/>
    <s v="Neagu"/>
    <s v="Daniel"/>
    <s v="M"/>
    <d v="1974-10-11T00:00:00"/>
    <d v="2018-02-23T00:00:00"/>
    <n v="50"/>
    <s v="Analist Financiar"/>
    <x v="2"/>
    <s v="Iași"/>
    <s v="Full-time"/>
    <n v="9150"/>
    <s v="Activ"/>
    <m/>
    <m/>
    <s v="daniel.neagu200@technova.ro"/>
    <x v="5"/>
    <n v="51"/>
    <n v="7.9"/>
    <s v="&gt; 5 ani"/>
    <n v="0"/>
  </r>
  <r>
    <x v="260"/>
    <s v="Lungu"/>
    <s v="Marius"/>
    <s v="M"/>
    <d v="1996-06-24T00:00:00"/>
    <d v="2024-09-30T00:00:00"/>
    <n v="20"/>
    <s v="Agent Vânzări"/>
    <x v="2"/>
    <s v="București"/>
    <s v="Part-time"/>
    <n v="6800"/>
    <s v="Activ"/>
    <m/>
    <m/>
    <s v="marius.lungu042@technova.ro"/>
    <x v="4"/>
    <n v="29"/>
    <n v="1.3"/>
    <s v="1–3 ani"/>
    <n v="0"/>
  </r>
  <r>
    <x v="261"/>
    <s v="Ciobanu"/>
    <s v="Alexandra"/>
    <s v="F"/>
    <d v="1976-11-16T00:00:00"/>
    <d v="2016-10-14T00:00:00"/>
    <n v="30"/>
    <s v="Specialist Marketing"/>
    <x v="2"/>
    <s v="Cluj-Napoca"/>
    <s v="Full-time"/>
    <n v="9050"/>
    <s v="Activ"/>
    <m/>
    <m/>
    <s v="alexandra.ciobanu283@technova.ro"/>
    <x v="3"/>
    <n v="49"/>
    <n v="9.1999999999999993"/>
    <s v="&gt; 5 ani"/>
    <n v="0"/>
  </r>
  <r>
    <x v="262"/>
    <s v="Surdu"/>
    <s v="Bogdan"/>
    <s v="M"/>
    <d v="1988-08-26T00:00:00"/>
    <d v="2021-10-31T00:00:00"/>
    <n v="60"/>
    <s v="Operator Call Center"/>
    <x v="1"/>
    <s v="Iași"/>
    <s v="Full-time"/>
    <n v="4250"/>
    <s v="Plecat"/>
    <d v="2025-04-18T00:00:00"/>
    <s v="Nespecificat"/>
    <s v="bogdan.surdu327@technova.ro"/>
    <x v="0"/>
    <n v="37"/>
    <n v="3.5"/>
    <s v="3–5 ani"/>
    <n v="1"/>
  </r>
  <r>
    <x v="263"/>
    <s v="Neagu"/>
    <s v="Andrei"/>
    <s v="M"/>
    <d v="1990-03-21T00:00:00"/>
    <d v="2025-04-11T00:00:00"/>
    <n v="70"/>
    <s v="Specialist Operațiuni"/>
    <x v="1"/>
    <s v="Timișoara"/>
    <s v="Full-time"/>
    <n v="4900"/>
    <s v="Activ"/>
    <m/>
    <m/>
    <s v="andrei.neagu232@technova.ro"/>
    <x v="1"/>
    <n v="35"/>
    <n v="0.7"/>
    <s v="&lt; 1 an"/>
    <n v="0"/>
  </r>
  <r>
    <x v="264"/>
    <s v="Ciobanu"/>
    <s v="Bianca"/>
    <s v="F"/>
    <d v="1995-05-08T00:00:00"/>
    <d v="2019-08-30T00:00:00"/>
    <n v="20"/>
    <s v="Key Account Manager"/>
    <x v="2"/>
    <s v="Iași"/>
    <s v="Full-time"/>
    <n v="6500"/>
    <s v="Activ"/>
    <m/>
    <m/>
    <s v="bianca.ciobanu246@technova.ro"/>
    <x v="4"/>
    <n v="30"/>
    <n v="6.3"/>
    <s v="&gt; 5 ani"/>
    <n v="0"/>
  </r>
  <r>
    <x v="265"/>
    <s v="Stoica"/>
    <s v="Robert"/>
    <s v="M"/>
    <d v="1987-05-13T00:00:00"/>
    <d v="2024-06-29T00:00:00"/>
    <n v="20"/>
    <s v="Agent Vânzări"/>
    <x v="3"/>
    <s v="București"/>
    <s v="Full-time"/>
    <n v="3950"/>
    <s v="Activ"/>
    <m/>
    <m/>
    <s v="robert.stoica371@technova.ro"/>
    <x v="4"/>
    <n v="38"/>
    <n v="1.5"/>
    <s v="1–3 ani"/>
    <n v="0"/>
  </r>
  <r>
    <x v="266"/>
    <s v="Tudor"/>
    <s v="Robert"/>
    <s v="M"/>
    <d v="1984-06-27T00:00:00"/>
    <d v="2021-04-24T00:00:00"/>
    <n v="50"/>
    <s v="Contabil"/>
    <x v="3"/>
    <s v="Iași"/>
    <s v="Part-time"/>
    <n v="4100"/>
    <s v="Activ"/>
    <m/>
    <m/>
    <s v="robert.tudor326@technova.ro"/>
    <x v="5"/>
    <n v="41"/>
    <n v="4.7"/>
    <s v="3–5 ani"/>
    <n v="0"/>
  </r>
  <r>
    <x v="267"/>
    <s v="Tudor"/>
    <s v="Simona"/>
    <s v="F"/>
    <d v="1997-10-05T00:00:00"/>
    <d v="2023-03-04T00:00:00"/>
    <n v="10"/>
    <s v="Programator"/>
    <x v="3"/>
    <s v="București"/>
    <s v="Full-time"/>
    <n v="6250"/>
    <s v="Activ"/>
    <m/>
    <m/>
    <s v="simona.tudor443@technova.ro"/>
    <x v="2"/>
    <n v="28"/>
    <n v="2.8"/>
    <s v="1–3 ani"/>
    <n v="0"/>
  </r>
  <r>
    <x v="268"/>
    <s v="Matei"/>
    <s v="Adrian"/>
    <s v="M"/>
    <d v="1990-04-27T00:00:00"/>
    <d v="2025-05-31T00:00:00"/>
    <n v="40"/>
    <s v="Recruiter"/>
    <x v="1"/>
    <s v="București"/>
    <s v="Full-time"/>
    <n v="6000"/>
    <s v="Plecat"/>
    <d v="2025-10-28T00:00:00"/>
    <s v="Relocare"/>
    <s v="adrian.matei264@technova.ro"/>
    <x v="6"/>
    <n v="35"/>
    <n v="0.4"/>
    <s v="&lt; 1 an"/>
    <n v="1"/>
  </r>
  <r>
    <x v="269"/>
    <s v="Surdu"/>
    <s v="Bogdan"/>
    <s v="M"/>
    <d v="1982-10-22T00:00:00"/>
    <d v="2023-02-26T00:00:00"/>
    <n v="60"/>
    <s v="Operator Call Center"/>
    <x v="3"/>
    <s v="Iași"/>
    <s v="Full-time"/>
    <n v="3000"/>
    <s v="Activ"/>
    <m/>
    <m/>
    <s v="bogdan.surdu030@technova.ro"/>
    <x v="0"/>
    <n v="43"/>
    <n v="2.8"/>
    <s v="1–3 ani"/>
    <n v="0"/>
  </r>
  <r>
    <x v="270"/>
    <s v="Neagu"/>
    <s v="Vlad"/>
    <s v="M"/>
    <d v="1988-04-21T00:00:00"/>
    <d v="2023-11-24T00:00:00"/>
    <n v="20"/>
    <s v="Agent Vânzări"/>
    <x v="3"/>
    <s v="Timișoara"/>
    <s v="Full-time"/>
    <n v="4200"/>
    <s v="Plecat"/>
    <d v="2024-12-01T00:00:00"/>
    <s v="Echilibru viață-muncă"/>
    <s v="vlad.neagu239@technova.ro"/>
    <x v="4"/>
    <n v="37"/>
    <n v="1"/>
    <s v="1–3 ani"/>
    <n v="1"/>
  </r>
  <r>
    <x v="271"/>
    <s v="Voicu"/>
    <s v="Sorin"/>
    <s v="M"/>
    <d v="1987-12-04T00:00:00"/>
    <d v="2024-11-16T00:00:00"/>
    <n v="70"/>
    <s v="Coordonator Logistică"/>
    <x v="2"/>
    <s v="Timișoara"/>
    <s v="Part-time"/>
    <n v="7850"/>
    <s v="Activ"/>
    <m/>
    <m/>
    <s v="sorin.voicu251@technova.ro"/>
    <x v="1"/>
    <n v="38"/>
    <n v="1.1000000000000001"/>
    <s v="1–3 ani"/>
    <n v="0"/>
  </r>
  <r>
    <x v="272"/>
    <s v="Marin"/>
    <s v="Roxana"/>
    <s v="F"/>
    <d v="1994-04-12T00:00:00"/>
    <d v="2020-01-06T00:00:00"/>
    <n v="30"/>
    <s v="Specialist Marketing"/>
    <x v="1"/>
    <s v="Cluj-Napoca"/>
    <s v="Full-time"/>
    <n v="6800"/>
    <s v="Activ"/>
    <m/>
    <m/>
    <s v="roxana.marin163@technova.ro"/>
    <x v="3"/>
    <n v="31"/>
    <n v="6"/>
    <s v="&gt; 5 ani"/>
    <n v="0"/>
  </r>
  <r>
    <x v="273"/>
    <s v="Dinu"/>
    <s v="George"/>
    <s v="M"/>
    <d v="1988-12-23T00:00:00"/>
    <d v="2023-04-30T00:00:00"/>
    <n v="40"/>
    <s v="Recruiter"/>
    <x v="2"/>
    <s v="București"/>
    <s v="Full-time"/>
    <n v="8650"/>
    <s v="Activ"/>
    <m/>
    <m/>
    <s v="george.dinu150@technova.ro"/>
    <x v="6"/>
    <n v="37"/>
    <n v="2.7"/>
    <s v="1–3 ani"/>
    <n v="0"/>
  </r>
  <r>
    <x v="274"/>
    <s v="Constantin"/>
    <s v="Irina"/>
    <s v="F"/>
    <d v="1981-01-15T00:00:00"/>
    <d v="2021-04-02T00:00:00"/>
    <n v="80"/>
    <s v="Consilier Juridic"/>
    <x v="1"/>
    <s v="Timișoara"/>
    <s v="Full-time"/>
    <n v="8100"/>
    <s v="Plecat"/>
    <d v="2023-04-25T00:00:00"/>
    <s v="Pensionare"/>
    <s v="irina.constantin372@technova.ro"/>
    <x v="7"/>
    <n v="44"/>
    <n v="2.1"/>
    <s v="1–3 ani"/>
    <n v="1"/>
  </r>
  <r>
    <x v="275"/>
    <s v="Florea"/>
    <s v="Mihaela"/>
    <s v="F"/>
    <d v="1988-06-25T00:00:00"/>
    <d v="2016-03-13T00:00:00"/>
    <n v="40"/>
    <s v="Recruiter"/>
    <x v="3"/>
    <s v="București"/>
    <s v="Full-time"/>
    <n v="4000"/>
    <s v="Activ"/>
    <m/>
    <m/>
    <s v="mihaela.florea368@technova.ro"/>
    <x v="6"/>
    <n v="37"/>
    <n v="9.8000000000000007"/>
    <s v="&gt; 5 ani"/>
    <n v="0"/>
  </r>
  <r>
    <x v="276"/>
    <s v="Gheorghe"/>
    <s v="Andreea"/>
    <s v="F"/>
    <d v="1995-07-21T00:00:00"/>
    <d v="2020-02-07T00:00:00"/>
    <n v="70"/>
    <s v="Specialist Operațiuni"/>
    <x v="3"/>
    <s v="București"/>
    <s v="Full-time"/>
    <n v="3550"/>
    <s v="Plecat"/>
    <d v="2023-11-18T00:00:00"/>
    <s v="Relocare"/>
    <s v="andreea.gheorghe095@technova.ro"/>
    <x v="1"/>
    <n v="30"/>
    <n v="3.8"/>
    <s v="3–5 ani"/>
    <n v="1"/>
  </r>
  <r>
    <x v="277"/>
    <s v="Stoica"/>
    <s v="Raluca"/>
    <s v="F"/>
    <d v="1995-05-16T00:00:00"/>
    <d v="2018-11-23T00:00:00"/>
    <n v="10"/>
    <s v="Programator"/>
    <x v="1"/>
    <s v="București"/>
    <s v="Full-time"/>
    <n v="9150"/>
    <s v="Plecat"/>
    <d v="2021-01-02T00:00:00"/>
    <s v="Echilibru viață-muncă"/>
    <s v="raluca.stoica222@technova.ro"/>
    <x v="2"/>
    <n v="30"/>
    <n v="2.1"/>
    <s v="1–3 ani"/>
    <n v="1"/>
  </r>
  <r>
    <x v="278"/>
    <s v="Florea"/>
    <s v="Ioana"/>
    <s v="F"/>
    <d v="1987-09-22T00:00:00"/>
    <d v="2017-12-17T00:00:00"/>
    <n v="70"/>
    <s v="Coordonator Logistică"/>
    <x v="1"/>
    <s v="Timișoara"/>
    <s v="Full-time"/>
    <n v="3950"/>
    <s v="Activ"/>
    <m/>
    <m/>
    <s v="ioana.florea086@technova.ro"/>
    <x v="1"/>
    <n v="38"/>
    <n v="8"/>
    <s v="&gt; 5 ani"/>
    <n v="0"/>
  </r>
  <r>
    <x v="279"/>
    <s v="Dobre"/>
    <s v="Cătălin"/>
    <s v="M"/>
    <d v="2003-01-12T00:00:00"/>
    <d v="2025-03-27T00:00:00"/>
    <n v="70"/>
    <s v="Coordonator Logistică"/>
    <x v="3"/>
    <s v="Timișoara"/>
    <s v="Full-time"/>
    <n v="3950"/>
    <s v="Activ"/>
    <m/>
    <m/>
    <s v="catalin.dobre188@technova.ro"/>
    <x v="1"/>
    <n v="22"/>
    <n v="0.8"/>
    <s v="&lt; 1 an"/>
    <n v="0"/>
  </r>
  <r>
    <x v="280"/>
    <s v="Dobre"/>
    <s v="Larisa"/>
    <s v="F"/>
    <d v="1989-12-09T00:00:00"/>
    <d v="2017-02-13T00:00:00"/>
    <n v="60"/>
    <s v="Operator Call Center"/>
    <x v="1"/>
    <s v="Iași"/>
    <s v="Full-time"/>
    <n v="4150"/>
    <s v="Plecat"/>
    <d v="2019-01-11T00:00:00"/>
    <s v="Salariu mai bun în altă parte"/>
    <s v="larisa.dobre090@technova.ro"/>
    <x v="0"/>
    <n v="36"/>
    <n v="1.9"/>
    <s v="1–3 ani"/>
    <n v="1"/>
  </r>
  <r>
    <x v="281"/>
    <s v="Munteanu"/>
    <s v="Ioana"/>
    <s v="F"/>
    <d v="1979-11-13T00:00:00"/>
    <d v="2020-07-13T00:00:00"/>
    <n v="60"/>
    <s v="Specialist Suport"/>
    <x v="2"/>
    <s v="Iași"/>
    <s v="Full-time"/>
    <n v="5800"/>
    <s v="Activ"/>
    <m/>
    <m/>
    <s v="ioana.munteanu315@technova.ro"/>
    <x v="0"/>
    <n v="46"/>
    <n v="5.5"/>
    <s v="&gt; 5 ani"/>
    <n v="0"/>
  </r>
  <r>
    <x v="282"/>
    <s v="Ciobanu"/>
    <s v="Andreea"/>
    <s v="F"/>
    <d v="1975-09-23T00:00:00"/>
    <d v="2024-12-28T00:00:00"/>
    <n v="70"/>
    <s v="Coordonator Logistică"/>
    <x v="2"/>
    <s v="Timișoara"/>
    <s v="Full-time"/>
    <n v="7250"/>
    <s v="Activ"/>
    <m/>
    <m/>
    <s v="andreea.ciobanu035@technova.ro"/>
    <x v="1"/>
    <n v="50"/>
    <n v="1"/>
    <s v="1–3 ani"/>
    <n v="0"/>
  </r>
  <r>
    <x v="283"/>
    <s v="Gheorghe"/>
    <s v="Bogdan"/>
    <s v="M"/>
    <d v="1993-02-17T00:00:00"/>
    <d v="2018-08-24T00:00:00"/>
    <n v="70"/>
    <s v="Coordonator Logistică"/>
    <x v="2"/>
    <s v="București"/>
    <s v="Full-time"/>
    <n v="7400"/>
    <s v="Activ"/>
    <m/>
    <m/>
    <s v="bogdan.gheorghe218@technova.ro"/>
    <x v="1"/>
    <n v="32"/>
    <n v="7.4"/>
    <s v="&gt; 5 ani"/>
    <n v="0"/>
  </r>
  <r>
    <x v="284"/>
    <s v="Sandu"/>
    <s v="Florin"/>
    <s v="M"/>
    <d v="1988-04-14T00:00:00"/>
    <d v="2023-04-21T00:00:00"/>
    <n v="10"/>
    <s v="Analist IT"/>
    <x v="2"/>
    <s v="București"/>
    <s v="Part-time"/>
    <n v="11300"/>
    <s v="Activ"/>
    <m/>
    <m/>
    <s v="florin.sandu073@technova.ro"/>
    <x v="2"/>
    <n v="37"/>
    <n v="2.7"/>
    <s v="1–3 ani"/>
    <n v="0"/>
  </r>
  <r>
    <x v="285"/>
    <s v="Florea"/>
    <s v="Alexandra"/>
    <s v="F"/>
    <d v="1980-04-10T00:00:00"/>
    <d v="2024-12-10T00:00:00"/>
    <n v="50"/>
    <s v="Analist Financiar"/>
    <x v="1"/>
    <s v="Iași"/>
    <s v="Full-time"/>
    <n v="6150"/>
    <s v="Activ"/>
    <m/>
    <m/>
    <s v="alexandra.florea221@technova.ro"/>
    <x v="5"/>
    <n v="45"/>
    <n v="1.1000000000000001"/>
    <s v="1–3 ani"/>
    <n v="0"/>
  </r>
  <r>
    <x v="286"/>
    <s v="Popa"/>
    <s v="Irina"/>
    <s v="F"/>
    <d v="1985-02-17T00:00:00"/>
    <d v="2020-09-20T00:00:00"/>
    <n v="30"/>
    <s v="Specialist Marketing"/>
    <x v="3"/>
    <s v="București"/>
    <s v="Full-time"/>
    <n v="3500"/>
    <s v="Activ"/>
    <m/>
    <m/>
    <s v="irina.popa299@technova.ro"/>
    <x v="3"/>
    <n v="40"/>
    <n v="5.3"/>
    <s v="&gt; 5 ani"/>
    <n v="0"/>
  </r>
  <r>
    <x v="287"/>
    <s v="Barbu"/>
    <s v="Irina"/>
    <s v="F"/>
    <d v="1978-10-19T00:00:00"/>
    <d v="2022-11-16T00:00:00"/>
    <n v="20"/>
    <s v="Manager Vânzări"/>
    <x v="0"/>
    <s v="București"/>
    <s v="Full-time"/>
    <n v="11100"/>
    <s v="Activ"/>
    <m/>
    <m/>
    <s v="irina.barbu450@technova.ro"/>
    <x v="4"/>
    <n v="47"/>
    <n v="3.1"/>
    <s v="3–5 ani"/>
    <n v="0"/>
  </r>
  <r>
    <x v="288"/>
    <s v="Popa"/>
    <s v="Alexandru"/>
    <s v="M"/>
    <d v="1987-11-23T00:00:00"/>
    <d v="2018-10-19T00:00:00"/>
    <n v="20"/>
    <s v="Key Account Manager"/>
    <x v="3"/>
    <s v="București"/>
    <s v="Full-time"/>
    <n v="3800"/>
    <s v="Plecat"/>
    <d v="2024-08-08T00:00:00"/>
    <s v="Relocare"/>
    <s v="alexandru.popa459@technova.ro"/>
    <x v="4"/>
    <n v="38"/>
    <n v="5.8"/>
    <s v="&gt; 5 ani"/>
    <n v="1"/>
  </r>
  <r>
    <x v="289"/>
    <s v="Popa"/>
    <s v="Ion"/>
    <s v="M"/>
    <d v="1988-09-04T00:00:00"/>
    <d v="2021-05-15T00:00:00"/>
    <n v="10"/>
    <s v="Analist IT"/>
    <x v="3"/>
    <s v="Iași"/>
    <s v="Full-time"/>
    <n v="6500"/>
    <s v="Plecat"/>
    <d v="2022-11-06T00:00:00"/>
    <s v="Nespecificat"/>
    <s v="ion.popa013@technova.ro"/>
    <x v="2"/>
    <n v="37"/>
    <n v="1.5"/>
    <s v="1–3 ani"/>
    <n v="1"/>
  </r>
  <r>
    <x v="290"/>
    <s v="Constantin"/>
    <s v="Andrei"/>
    <s v="M"/>
    <d v="1980-04-23T00:00:00"/>
    <d v="2017-10-31T00:00:00"/>
    <n v="60"/>
    <s v="Specialist Suport"/>
    <x v="2"/>
    <s v="Iași"/>
    <s v="Full-time"/>
    <n v="5550"/>
    <s v="Activ"/>
    <m/>
    <m/>
    <s v="andrei.constantin199@technova.ro"/>
    <x v="0"/>
    <n v="45"/>
    <n v="8.1999999999999993"/>
    <s v="&gt; 5 ani"/>
    <n v="0"/>
  </r>
  <r>
    <x v="291"/>
    <s v="Surdu"/>
    <s v="Diana"/>
    <s v="F"/>
    <d v="1989-08-06T00:00:00"/>
    <d v="2018-05-05T00:00:00"/>
    <n v="50"/>
    <s v="Contabil"/>
    <x v="1"/>
    <s v="Iași"/>
    <s v="Full-time"/>
    <n v="7500"/>
    <s v="Activ"/>
    <m/>
    <m/>
    <s v="diana.surdu214@technova.ro"/>
    <x v="5"/>
    <n v="36"/>
    <n v="7.7"/>
    <s v="&gt; 5 ani"/>
    <n v="0"/>
  </r>
  <r>
    <x v="292"/>
    <s v="Popescu"/>
    <s v="Stefan"/>
    <s v="M"/>
    <d v="1985-04-21T00:00:00"/>
    <d v="2021-08-29T00:00:00"/>
    <n v="30"/>
    <s v="Content Creator"/>
    <x v="3"/>
    <s v="Cluj-Napoca"/>
    <s v="Full-time"/>
    <n v="3800"/>
    <s v="Activ"/>
    <m/>
    <m/>
    <s v="stefan.popescu432@technova.ro"/>
    <x v="3"/>
    <n v="40"/>
    <n v="4.3"/>
    <s v="3–5 ani"/>
    <n v="0"/>
  </r>
  <r>
    <x v="293"/>
    <s v="Tudor"/>
    <s v="Stefan"/>
    <s v="M"/>
    <d v="1976-09-03T00:00:00"/>
    <d v="2021-04-10T00:00:00"/>
    <n v="60"/>
    <s v="Operator Call Center"/>
    <x v="1"/>
    <s v="Iași"/>
    <s v="Full-time"/>
    <n v="4600"/>
    <s v="Activ"/>
    <m/>
    <m/>
    <s v="stefan.tudor235@technova.ro"/>
    <x v="0"/>
    <n v="49"/>
    <n v="4.7"/>
    <s v="3–5 ani"/>
    <n v="0"/>
  </r>
  <r>
    <x v="294"/>
    <s v="Cozma"/>
    <s v="Stefan"/>
    <s v="M"/>
    <d v="1983-07-22T00:00:00"/>
    <d v="2016-10-13T00:00:00"/>
    <n v="10"/>
    <s v="Manager IT"/>
    <x v="0"/>
    <s v="București"/>
    <s v="Part-time"/>
    <n v="16400"/>
    <s v="Activ"/>
    <m/>
    <m/>
    <s v="stefan.cozma412@technova.ro"/>
    <x v="2"/>
    <n v="42"/>
    <n v="9.1999999999999993"/>
    <s v="&gt; 5 ani"/>
    <n v="0"/>
  </r>
  <r>
    <x v="295"/>
    <s v="Surdu"/>
    <s v="Ioana"/>
    <s v="F"/>
    <d v="1979-08-02T00:00:00"/>
    <d v="2018-07-13T00:00:00"/>
    <n v="20"/>
    <s v="Agent Vânzări"/>
    <x v="1"/>
    <s v="București"/>
    <s v="Full-time"/>
    <n v="5050"/>
    <s v="Plecat"/>
    <d v="2022-06-15T00:00:00"/>
    <s v="Echilibru viață-muncă"/>
    <s v="ioana.surdu425@technova.ro"/>
    <x v="4"/>
    <n v="46"/>
    <n v="3.9"/>
    <s v="3–5 ani"/>
    <n v="1"/>
  </r>
  <r>
    <x v="296"/>
    <s v="Ionescu"/>
    <s v="Maria"/>
    <s v="F"/>
    <d v="1992-12-27T00:00:00"/>
    <d v="2024-09-02T00:00:00"/>
    <n v="50"/>
    <s v="Analist Financiar"/>
    <x v="2"/>
    <s v="Iași"/>
    <s v="Full-time"/>
    <n v="10100"/>
    <s v="Activ"/>
    <m/>
    <m/>
    <s v="maria.ionescu442@technova.ro"/>
    <x v="5"/>
    <n v="33"/>
    <n v="1.3"/>
    <s v="1–3 ani"/>
    <n v="0"/>
  </r>
  <r>
    <x v="297"/>
    <s v="Ionescu"/>
    <s v="Vlad"/>
    <s v="M"/>
    <d v="1993-08-27T00:00:00"/>
    <d v="2017-11-11T00:00:00"/>
    <n v="70"/>
    <s v="Coordonator Logistică"/>
    <x v="3"/>
    <s v="Timișoara"/>
    <s v="Full-time"/>
    <n v="3100"/>
    <s v="Plecat"/>
    <d v="2020-05-22T00:00:00"/>
    <s v="Salariu mai bun în altă parte"/>
    <s v="vlad.ionescu097@technova.ro"/>
    <x v="1"/>
    <n v="32"/>
    <n v="2.5"/>
    <s v="1–3 ani"/>
    <n v="1"/>
  </r>
  <r>
    <x v="298"/>
    <s v="Neagu"/>
    <s v="Ion"/>
    <s v="M"/>
    <d v="1990-07-14T00:00:00"/>
    <d v="2023-08-08T00:00:00"/>
    <n v="40"/>
    <s v="Specialist HR"/>
    <x v="1"/>
    <s v="București"/>
    <s v="Full-time"/>
    <n v="6300"/>
    <s v="Activ"/>
    <m/>
    <m/>
    <s v="ion.neagu311@technova.ro"/>
    <x v="6"/>
    <n v="35"/>
    <n v="2.4"/>
    <s v="1–3 ani"/>
    <n v="0"/>
  </r>
  <r>
    <x v="299"/>
    <s v="Barbu"/>
    <s v="Florin"/>
    <s v="M"/>
    <d v="1979-08-21T00:00:00"/>
    <d v="2021-07-31T00:00:00"/>
    <n v="20"/>
    <s v="Key Account Manager"/>
    <x v="1"/>
    <s v="Timișoara"/>
    <s v="Full-time"/>
    <n v="5050"/>
    <s v="Plecat"/>
    <d v="2023-01-23T00:00:00"/>
    <s v="Relocare"/>
    <s v="florin.barbu298@technova.ro"/>
    <x v="4"/>
    <n v="46"/>
    <n v="1.5"/>
    <s v="1–3 ani"/>
    <n v="1"/>
  </r>
  <r>
    <x v="300"/>
    <s v="Oprea"/>
    <s v="Alexandra"/>
    <s v="F"/>
    <d v="1982-10-05T00:00:00"/>
    <d v="2025-07-17T00:00:00"/>
    <n v="60"/>
    <s v="Operator Call Center"/>
    <x v="1"/>
    <s v="București"/>
    <s v="Full-time"/>
    <n v="4350"/>
    <s v="Plecat"/>
    <d v="2025-11-08T00:00:00"/>
    <s v="Lipsa oportunităților de promovare"/>
    <s v="alexandra.oprea064@technova.ro"/>
    <x v="0"/>
    <n v="43"/>
    <n v="0.3"/>
    <s v="&lt; 1 an"/>
    <n v="1"/>
  </r>
  <r>
    <x v="301"/>
    <s v="Rusu"/>
    <s v="Cristina"/>
    <s v="F"/>
    <d v="1992-03-22T00:00:00"/>
    <d v="2019-06-30T00:00:00"/>
    <n v="60"/>
    <s v="Operator Call Center"/>
    <x v="2"/>
    <s v="Iași"/>
    <s v="Full-time"/>
    <n v="4850"/>
    <s v="Plecat"/>
    <d v="2020-11-27T00:00:00"/>
    <s v="Echilibru viață-muncă"/>
    <s v="cristina.rusu223@technova.ro"/>
    <x v="0"/>
    <n v="33"/>
    <n v="1.4"/>
    <s v="1–3 ani"/>
    <n v="1"/>
  </r>
  <r>
    <x v="302"/>
    <s v="Ionescu"/>
    <s v="Cristian"/>
    <s v="M"/>
    <d v="1995-01-24T00:00:00"/>
    <d v="2017-07-28T00:00:00"/>
    <n v="10"/>
    <s v="Programator"/>
    <x v="3"/>
    <s v="București"/>
    <s v="Part-time"/>
    <n v="6400"/>
    <s v="Activ"/>
    <m/>
    <m/>
    <m/>
    <x v="2"/>
    <n v="30"/>
    <n v="8.4"/>
    <s v="&gt; 5 ani"/>
    <n v="0"/>
  </r>
  <r>
    <x v="303"/>
    <s v="Constantin"/>
    <s v="Ion"/>
    <s v="M"/>
    <d v="1999-12-18T00:00:00"/>
    <d v="2023-11-01T00:00:00"/>
    <n v="70"/>
    <s v="Specialist Operațiuni"/>
    <x v="3"/>
    <s v="Timișoara"/>
    <s v="Part-time"/>
    <n v="3600"/>
    <s v="Activ"/>
    <m/>
    <m/>
    <s v="ion.constantin014@technova.ro"/>
    <x v="1"/>
    <n v="26"/>
    <n v="2.2000000000000002"/>
    <s v="1–3 ani"/>
    <n v="0"/>
  </r>
  <r>
    <x v="304"/>
    <s v="Ene"/>
    <s v="Raluca"/>
    <s v="F"/>
    <d v="1996-07-26T00:00:00"/>
    <d v="2020-03-15T00:00:00"/>
    <n v="60"/>
    <s v="Operator Call Center"/>
    <x v="3"/>
    <s v="Iași"/>
    <s v="Full-time"/>
    <n v="2700"/>
    <s v="Plecat"/>
    <d v="2025-10-11T00:00:00"/>
    <s v="Salariu mai bun în altă parte"/>
    <s v="raluca.ene018@technova.ro"/>
    <x v="0"/>
    <n v="29"/>
    <n v="5.6"/>
    <s v="&gt; 5 ani"/>
    <n v="1"/>
  </r>
  <r>
    <x v="305"/>
    <s v="Neagu"/>
    <s v="Larisa"/>
    <s v="F"/>
    <d v="1984-01-11T00:00:00"/>
    <d v="2018-05-26T00:00:00"/>
    <n v="60"/>
    <s v="Operator Call Center"/>
    <x v="1"/>
    <s v="Iași"/>
    <s v="Full-time"/>
    <n v="3700"/>
    <s v="Activ"/>
    <m/>
    <m/>
    <s v="larisa.neagu356@technova.ro"/>
    <x v="0"/>
    <n v="41"/>
    <n v="7.6"/>
    <s v="&gt; 5 ani"/>
    <n v="0"/>
  </r>
  <r>
    <x v="306"/>
    <s v="Popescu"/>
    <s v="Denisa"/>
    <s v="F"/>
    <d v="1991-09-06T00:00:00"/>
    <d v="2023-05-31T00:00:00"/>
    <n v="70"/>
    <s v="Coordonator Logistică"/>
    <x v="1"/>
    <s v="Timișoara"/>
    <s v="Full-time"/>
    <n v="4650"/>
    <s v="Activ"/>
    <m/>
    <m/>
    <s v="denisa.popescu247@technova.ro"/>
    <x v="1"/>
    <n v="34"/>
    <n v="2.6"/>
    <s v="1–3 ani"/>
    <n v="0"/>
  </r>
  <r>
    <x v="307"/>
    <s v="Moldovan"/>
    <s v="Bogdan"/>
    <s v="M"/>
    <d v="1996-06-17T00:00:00"/>
    <d v="2024-03-28T00:00:00"/>
    <n v="50"/>
    <s v="Contabil"/>
    <x v="3"/>
    <s v="Iași"/>
    <s v="Full-time"/>
    <n v="4800"/>
    <s v="Activ"/>
    <m/>
    <m/>
    <s v="bogdan.moldovan382@technova.ro"/>
    <x v="5"/>
    <n v="29"/>
    <n v="1.8"/>
    <s v="1–3 ani"/>
    <n v="0"/>
  </r>
  <r>
    <x v="308"/>
    <s v="Moldovan"/>
    <s v="Alexandru"/>
    <s v="M"/>
    <d v="1992-05-14T00:00:00"/>
    <d v="2021-01-02T00:00:00"/>
    <n v="60"/>
    <s v="Specialist Suport"/>
    <x v="1"/>
    <s v="Timișoara"/>
    <s v="Full-time"/>
    <n v="4900"/>
    <s v="Activ"/>
    <m/>
    <m/>
    <s v="alexandru.moldovan208@technova.ro"/>
    <x v="0"/>
    <n v="33"/>
    <n v="5"/>
    <s v="&gt; 5 ani"/>
    <n v="0"/>
  </r>
  <r>
    <x v="309"/>
    <s v="Cozma"/>
    <s v="Daniel"/>
    <s v="M"/>
    <d v="1989-02-20T00:00:00"/>
    <d v="2024-07-29T00:00:00"/>
    <n v="20"/>
    <s v="Agent Vânzări"/>
    <x v="1"/>
    <s v="București"/>
    <s v="Part-time"/>
    <n v="5850"/>
    <s v="Activ"/>
    <m/>
    <m/>
    <s v="daniel.cozma091@technova.ro"/>
    <x v="4"/>
    <n v="36"/>
    <n v="1.4"/>
    <s v="1–3 ani"/>
    <n v="0"/>
  </r>
  <r>
    <x v="310"/>
    <s v="Moldovan"/>
    <s v="Oana"/>
    <s v="F"/>
    <d v="1984-07-19T00:00:00"/>
    <d v="2017-02-25T00:00:00"/>
    <n v="10"/>
    <s v="Analist IT"/>
    <x v="1"/>
    <s v="București"/>
    <s v="Full-time"/>
    <n v="9150"/>
    <s v="Activ"/>
    <m/>
    <m/>
    <s v="oana.moldovan308@technova.ro"/>
    <x v="2"/>
    <n v="41"/>
    <n v="8.8000000000000007"/>
    <s v="&gt; 5 ani"/>
    <n v="0"/>
  </r>
  <r>
    <x v="311"/>
    <s v="Popescu"/>
    <s v="Ana"/>
    <s v="F"/>
    <d v="1998-11-10T00:00:00"/>
    <d v="2022-12-23T00:00:00"/>
    <n v="80"/>
    <s v="Consilier Juridic"/>
    <x v="1"/>
    <s v="București"/>
    <s v="Full-time"/>
    <n v="6600"/>
    <s v="Plecat"/>
    <d v="2025-01-05T00:00:00"/>
    <s v="Lipsa oportunităților de promovare"/>
    <s v="ana.popescu324@technova.ro"/>
    <x v="7"/>
    <n v="27"/>
    <n v="2"/>
    <s v="1–3 ani"/>
    <n v="1"/>
  </r>
  <r>
    <x v="312"/>
    <s v="Neagu"/>
    <s v="Ioana"/>
    <s v="F"/>
    <d v="1987-06-02T00:00:00"/>
    <d v="2021-09-15T00:00:00"/>
    <n v="40"/>
    <s v="Recruiter"/>
    <x v="3"/>
    <s v="București"/>
    <s v="Full-time"/>
    <n v="4400"/>
    <s v="Activ"/>
    <m/>
    <m/>
    <s v="ioana.neagu354@technova.ro"/>
    <x v="6"/>
    <n v="38"/>
    <n v="4.3"/>
    <s v="3–5 ani"/>
    <n v="0"/>
  </r>
  <r>
    <x v="313"/>
    <s v="Preda"/>
    <s v="Ioana"/>
    <s v="F"/>
    <d v="1985-04-07T00:00:00"/>
    <d v="2022-04-12T00:00:00"/>
    <n v="60"/>
    <s v="Operator Call Center"/>
    <x v="1"/>
    <s v="Iași"/>
    <s v="Full-time"/>
    <n v="4500"/>
    <s v="Activ"/>
    <m/>
    <m/>
    <s v="ioana.preda040@technova.ro"/>
    <x v="0"/>
    <n v="40"/>
    <n v="3.7"/>
    <s v="3–5 ani"/>
    <n v="0"/>
  </r>
  <r>
    <x v="314"/>
    <s v="Moldovan"/>
    <s v="Elena"/>
    <s v="F"/>
    <d v="1979-12-18T00:00:00"/>
    <d v="2022-10-16T00:00:00"/>
    <n v="10"/>
    <s v="Programator"/>
    <x v="1"/>
    <s v="Timișoara"/>
    <s v="Full-time"/>
    <n v="8250"/>
    <s v="Activ"/>
    <m/>
    <m/>
    <s v="elena.moldovan087@technova.ro"/>
    <x v="2"/>
    <n v="46"/>
    <n v="3.2"/>
    <s v="3–5 ani"/>
    <n v="0"/>
  </r>
  <r>
    <x v="315"/>
    <s v="Stan"/>
    <s v="Sorin"/>
    <s v="M"/>
    <d v="1997-08-10T00:00:00"/>
    <d v="2017-11-28T00:00:00"/>
    <n v="20"/>
    <s v="Key Account Manager"/>
    <x v="3"/>
    <s v="București"/>
    <s v="Full-time"/>
    <n v="3550"/>
    <s v="Activ"/>
    <m/>
    <m/>
    <s v="sorin.stan182@technova.ro"/>
    <x v="4"/>
    <n v="28"/>
    <n v="8.1"/>
    <s v="&gt; 5 ani"/>
    <n v="0"/>
  </r>
  <r>
    <x v="316"/>
    <s v="Lungu"/>
    <s v="Daniel"/>
    <s v="M"/>
    <d v="1985-04-07T00:00:00"/>
    <d v="2024-02-20T00:00:00"/>
    <n v="20"/>
    <s v="Key Account Manager"/>
    <x v="2"/>
    <s v="București"/>
    <s v="Full-time"/>
    <n v="6700"/>
    <s v="Activ"/>
    <m/>
    <m/>
    <s v="daniel.lungu449@technova.ro"/>
    <x v="4"/>
    <n v="40"/>
    <n v="1.9"/>
    <s v="1–3 ani"/>
    <n v="0"/>
  </r>
  <r>
    <x v="317"/>
    <s v="Munteanu"/>
    <s v="Denisa"/>
    <s v="F"/>
    <d v="1999-10-13T00:00:00"/>
    <d v="2021-11-27T00:00:00"/>
    <n v="60"/>
    <s v="Operator Call Center"/>
    <x v="1"/>
    <s v="Iași"/>
    <s v="Full-time"/>
    <n v="4000"/>
    <s v="Plecat"/>
    <d v="2025-05-27T00:00:00"/>
    <s v="Relația cu managerul"/>
    <s v="denisa.munteanu146@technova.ro"/>
    <x v="0"/>
    <n v="26"/>
    <n v="3.5"/>
    <s v="3–5 ani"/>
    <n v="1"/>
  </r>
  <r>
    <x v="318"/>
    <s v="Munteanu"/>
    <s v="Oana"/>
    <s v="F"/>
    <d v="1992-11-15T00:00:00"/>
    <d v="2016-09-22T00:00:00"/>
    <n v="60"/>
    <s v="Specialist Suport"/>
    <x v="2"/>
    <s v="Iași"/>
    <s v="Full-time"/>
    <n v="5850"/>
    <s v="Plecat"/>
    <d v="2021-03-27T00:00:00"/>
    <s v="Salariu mai bun în altă parte"/>
    <s v="oana.munteanu159@technova.ro"/>
    <x v="0"/>
    <n v="33"/>
    <n v="4.5"/>
    <s v="3–5 ani"/>
    <n v="1"/>
  </r>
  <r>
    <x v="319"/>
    <s v="Preda"/>
    <s v="Denisa"/>
    <s v="F"/>
    <d v="1983-08-23T00:00:00"/>
    <d v="2020-10-05T00:00:00"/>
    <n v="60"/>
    <s v="Operator Call Center"/>
    <x v="2"/>
    <s v="Iași"/>
    <s v="Full-time"/>
    <n v="6400"/>
    <s v="Activ"/>
    <m/>
    <m/>
    <s v="denisa.preda472@technova.ro"/>
    <x v="0"/>
    <n v="42"/>
    <n v="5.2"/>
    <s v="&gt; 5 ani"/>
    <n v="0"/>
  </r>
  <r>
    <x v="320"/>
    <s v="Stoica"/>
    <s v="Sorin"/>
    <s v="M"/>
    <d v="1997-02-25T00:00:00"/>
    <d v="2018-09-01T00:00:00"/>
    <n v="20"/>
    <s v="Key Account Manager"/>
    <x v="3"/>
    <s v="București"/>
    <s v="Full-time"/>
    <n v="3750"/>
    <s v="Activ"/>
    <m/>
    <m/>
    <s v="sorin.stoica360@technova.ro"/>
    <x v="4"/>
    <n v="28"/>
    <n v="7.3"/>
    <s v="&gt; 5 ani"/>
    <n v="0"/>
  </r>
  <r>
    <x v="321"/>
    <s v="Dinu"/>
    <s v="Ion"/>
    <s v="M"/>
    <d v="1972-08-17T00:00:00"/>
    <d v="2022-05-15T00:00:00"/>
    <n v="70"/>
    <s v="Specialist Operațiuni"/>
    <x v="2"/>
    <s v="Timișoara"/>
    <s v="Full-time"/>
    <n v="7550"/>
    <s v="Activ"/>
    <m/>
    <m/>
    <s v="ion.dinu460@technova.ro"/>
    <x v="1"/>
    <n v="53"/>
    <n v="3.6"/>
    <s v="3–5 ani"/>
    <n v="0"/>
  </r>
  <r>
    <x v="322"/>
    <s v="Munteanu"/>
    <s v="Mihai"/>
    <s v="M"/>
    <d v="1985-10-28T00:00:00"/>
    <d v="2021-03-15T00:00:00"/>
    <n v="70"/>
    <s v="Specialist Operațiuni"/>
    <x v="1"/>
    <s v="Timișoara"/>
    <s v="Full-time"/>
    <n v="5125"/>
    <s v="Plecat"/>
    <d v="2025-03-20T00:00:00"/>
    <s v="Salariu mai bun în altă parte"/>
    <s v="mihai.munteanu344@technova.ro"/>
    <x v="1"/>
    <n v="40"/>
    <n v="4"/>
    <s v="3–5 ani"/>
    <n v="1"/>
  </r>
  <r>
    <x v="323"/>
    <s v="Dinu"/>
    <s v="Denisa"/>
    <s v="F"/>
    <d v="1997-02-11T00:00:00"/>
    <d v="2019-08-23T00:00:00"/>
    <n v="10"/>
    <s v="Tester QA"/>
    <x v="3"/>
    <s v="București"/>
    <s v="Full-time"/>
    <n v="5750"/>
    <s v="Activ"/>
    <m/>
    <m/>
    <s v="denisa.dinu201@technova.ro"/>
    <x v="2"/>
    <n v="28"/>
    <n v="6.4"/>
    <s v="&gt; 5 ani"/>
    <n v="0"/>
  </r>
  <r>
    <x v="324"/>
    <s v="Surdu"/>
    <s v="Florin"/>
    <s v="M"/>
    <d v="1998-03-10T00:00:00"/>
    <d v="2018-05-22T00:00:00"/>
    <n v="10"/>
    <s v="Tester QA"/>
    <x v="3"/>
    <s v="Timișoara"/>
    <s v="Full-time"/>
    <n v="5450"/>
    <s v="Activ"/>
    <m/>
    <m/>
    <s v="florin.surdu293@technova.ro"/>
    <x v="2"/>
    <n v="27"/>
    <n v="7.6"/>
    <s v="&gt; 5 ani"/>
    <n v="0"/>
  </r>
  <r>
    <x v="325"/>
    <s v="Popa"/>
    <s v="Vlad"/>
    <s v="M"/>
    <d v="1996-05-11T00:00:00"/>
    <d v="2016-08-27T00:00:00"/>
    <n v="70"/>
    <s v="Coordonator Logistică"/>
    <x v="1"/>
    <s v="Timișoara"/>
    <s v="Full-time"/>
    <n v="5350"/>
    <s v="Activ"/>
    <m/>
    <m/>
    <s v="vlad.popa072@technova.ro"/>
    <x v="1"/>
    <n v="29"/>
    <n v="9.3000000000000007"/>
    <s v="&gt; 5 ani"/>
    <n v="0"/>
  </r>
  <r>
    <x v="326"/>
    <s v="Marin"/>
    <s v="Alexandra"/>
    <s v="F"/>
    <d v="1989-08-08T00:00:00"/>
    <d v="2024-09-19T00:00:00"/>
    <n v="60"/>
    <s v="Specialist Suport"/>
    <x v="3"/>
    <s v="Iași"/>
    <s v="Full-time"/>
    <n v="2550"/>
    <s v="Plecat"/>
    <d v="2025-11-04T00:00:00"/>
    <s v="Salariu mai bun în altă parte"/>
    <m/>
    <x v="0"/>
    <n v="36"/>
    <n v="1.1000000000000001"/>
    <s v="1–3 ani"/>
    <n v="1"/>
  </r>
  <r>
    <x v="327"/>
    <s v="Cozma"/>
    <s v="Mihaela"/>
    <s v="F"/>
    <d v="1973-03-26T00:00:00"/>
    <d v="2017-07-17T00:00:00"/>
    <n v="70"/>
    <s v="Manager Operațiuni"/>
    <x v="0"/>
    <s v="Timișoara"/>
    <s v="Full-time"/>
    <n v="8700"/>
    <s v="Activ"/>
    <m/>
    <m/>
    <s v="mihaela.cozma409@technova.ro"/>
    <x v="1"/>
    <n v="52"/>
    <n v="8.5"/>
    <s v="&gt; 5 ani"/>
    <n v="0"/>
  </r>
  <r>
    <x v="328"/>
    <s v="Matei"/>
    <s v="Ioana"/>
    <s v="F"/>
    <d v="1978-08-16T00:00:00"/>
    <d v="2018-08-24T00:00:00"/>
    <n v="10"/>
    <s v="DevOps Engineer"/>
    <x v="1"/>
    <s v="București"/>
    <s v="Full-time"/>
    <n v="8750"/>
    <s v="Activ"/>
    <m/>
    <m/>
    <s v="ioana.matei357@technova.ro"/>
    <x v="2"/>
    <n v="47"/>
    <n v="7.4"/>
    <s v="&gt; 5 ani"/>
    <n v="0"/>
  </r>
  <r>
    <x v="329"/>
    <s v="Ene"/>
    <s v="Mihai"/>
    <s v="M"/>
    <d v="1981-02-13T00:00:00"/>
    <d v="2024-01-12T00:00:00"/>
    <n v="40"/>
    <s v="Manager Resurse Umane"/>
    <x v="0"/>
    <s v="Cluj-Napoca"/>
    <s v="Full-time"/>
    <n v="11200"/>
    <s v="Activ"/>
    <m/>
    <m/>
    <s v="mihai.ene386@technova.ro"/>
    <x v="6"/>
    <n v="44"/>
    <n v="2"/>
    <s v="1–3 ani"/>
    <n v="0"/>
  </r>
  <r>
    <x v="330"/>
    <s v="Preda"/>
    <s v="Ana"/>
    <s v="F"/>
    <d v="1980-02-20T00:00:00"/>
    <d v="2023-05-09T00:00:00"/>
    <n v="70"/>
    <s v="Specialist Operațiuni"/>
    <x v="1"/>
    <s v="Timișoara"/>
    <s v="Full-time"/>
    <n v="5125"/>
    <s v="Activ"/>
    <m/>
    <m/>
    <s v="ana.preda470@technova.ro"/>
    <x v="1"/>
    <n v="45"/>
    <n v="2.6"/>
    <s v="1–3 ani"/>
    <n v="0"/>
  </r>
  <r>
    <x v="331"/>
    <s v="Tudor"/>
    <s v="Vlad"/>
    <s v="M"/>
    <d v="1976-01-18T00:00:00"/>
    <d v="2024-02-06T00:00:00"/>
    <n v="30"/>
    <s v="Content Creator"/>
    <x v="1"/>
    <s v="Cluj-Napoca"/>
    <s v="Full-time"/>
    <n v="5550"/>
    <s v="Activ"/>
    <m/>
    <m/>
    <s v="vlad.tudor456@technova.ro"/>
    <x v="3"/>
    <n v="49"/>
    <n v="1.9"/>
    <s v="1–3 ani"/>
    <n v="0"/>
  </r>
  <r>
    <x v="332"/>
    <s v="Dumitru"/>
    <s v="Cristian"/>
    <s v="M"/>
    <d v="1994-12-19T00:00:00"/>
    <d v="2022-07-17T00:00:00"/>
    <n v="10"/>
    <s v="Analist IT"/>
    <x v="2"/>
    <s v="București"/>
    <s v="Full-time"/>
    <n v="14650"/>
    <s v="Activ"/>
    <m/>
    <m/>
    <s v="cristian.dumitru421@technova.ro"/>
    <x v="2"/>
    <n v="31"/>
    <n v="3.5"/>
    <s v="3–5 ani"/>
    <n v="0"/>
  </r>
  <r>
    <x v="333"/>
    <s v="Oprea"/>
    <s v="Stefan"/>
    <s v="M"/>
    <d v="1993-12-15T00:00:00"/>
    <d v="2018-06-20T00:00:00"/>
    <n v="20"/>
    <s v="Agent Vânzări"/>
    <x v="3"/>
    <s v="București"/>
    <s v="Full-time"/>
    <n v="4950"/>
    <s v="Activ"/>
    <m/>
    <m/>
    <s v="stefan.oprea134@technova.ro"/>
    <x v="4"/>
    <n v="32"/>
    <n v="7.5"/>
    <s v="&gt; 5 ani"/>
    <n v="0"/>
  </r>
  <r>
    <x v="334"/>
    <s v="Sandu"/>
    <s v="Stefan"/>
    <s v="M"/>
    <d v="1985-11-15T00:00:00"/>
    <d v="2020-03-06T00:00:00"/>
    <n v="20"/>
    <s v="Key Account Manager"/>
    <x v="2"/>
    <s v="București"/>
    <s v="Full-time"/>
    <n v="8850"/>
    <s v="Plecat"/>
    <d v="2021-11-16T00:00:00"/>
    <s v="Echilibru viață-muncă"/>
    <s v="stefan.sandu061@technova.ro"/>
    <x v="4"/>
    <n v="40"/>
    <n v="1.7"/>
    <s v="1–3 ani"/>
    <n v="1"/>
  </r>
  <r>
    <x v="335"/>
    <s v="Cozma"/>
    <s v="Sorin"/>
    <s v="M"/>
    <d v="1972-12-07T00:00:00"/>
    <d v="2022-04-10T00:00:00"/>
    <n v="10"/>
    <s v="DevOps Engineer"/>
    <x v="2"/>
    <s v="București"/>
    <s v="Full-time"/>
    <n v="12700"/>
    <s v="Activ"/>
    <m/>
    <m/>
    <s v="sorin.cozma370@technova.ro"/>
    <x v="2"/>
    <n v="53"/>
    <n v="3.7"/>
    <s v="3–5 ani"/>
    <n v="0"/>
  </r>
  <r>
    <x v="336"/>
    <s v="Voicu"/>
    <s v="Mihaela"/>
    <s v="F"/>
    <d v="1983-10-21T00:00:00"/>
    <d v="2020-01-05T00:00:00"/>
    <n v="30"/>
    <s v="Content Creator"/>
    <x v="1"/>
    <s v="Iași"/>
    <s v="Full-time"/>
    <n v="5700"/>
    <s v="Activ"/>
    <m/>
    <m/>
    <s v="mihaela.voicu471@technova.ro"/>
    <x v="3"/>
    <n v="42"/>
    <n v="6"/>
    <s v="&gt; 5 ani"/>
    <n v="0"/>
  </r>
  <r>
    <x v="337"/>
    <s v="Marin"/>
    <s v="Bogdan"/>
    <s v="M"/>
    <d v="1996-05-08T00:00:00"/>
    <d v="2021-02-02T00:00:00"/>
    <n v="20"/>
    <s v="Agent Vânzări"/>
    <x v="3"/>
    <s v="București"/>
    <s v="Full-time"/>
    <n v="4200"/>
    <s v="Plecat"/>
    <d v="2021-07-28T00:00:00"/>
    <s v="Nespecificat"/>
    <s v="bogdan.marin101@technova.ro"/>
    <x v="4"/>
    <n v="29"/>
    <n v="0.5"/>
    <s v="&lt; 1 an"/>
    <n v="1"/>
  </r>
  <r>
    <x v="338"/>
    <s v="Popa"/>
    <s v="Adrian"/>
    <s v="M"/>
    <d v="1985-03-10T00:00:00"/>
    <d v="2024-01-15T00:00:00"/>
    <n v="10"/>
    <s v="Tester QA"/>
    <x v="2"/>
    <s v="Cluj-Napoca"/>
    <s v="Full-time"/>
    <n v="11650"/>
    <s v="Activ"/>
    <m/>
    <m/>
    <s v="adrian.popa020@technova.ro"/>
    <x v="2"/>
    <n v="40"/>
    <n v="2"/>
    <s v="1–3 ani"/>
    <n v="0"/>
  </r>
  <r>
    <x v="339"/>
    <s v="Popescu"/>
    <s v="Roxana"/>
    <s v="F"/>
    <d v="1993-06-17T00:00:00"/>
    <d v="2017-08-01T00:00:00"/>
    <n v="70"/>
    <s v="Specialist Operațiuni"/>
    <x v="1"/>
    <s v="București"/>
    <s v="Full-time"/>
    <n v="5300"/>
    <s v="Activ"/>
    <m/>
    <m/>
    <s v="roxana.popescu378@technova.ro"/>
    <x v="1"/>
    <n v="32"/>
    <n v="8.4"/>
    <s v="&gt; 5 ani"/>
    <n v="0"/>
  </r>
  <r>
    <x v="340"/>
    <s v="Tudor"/>
    <s v="Simona"/>
    <s v="F"/>
    <d v="1990-07-13T00:00:00"/>
    <d v="2020-08-11T00:00:00"/>
    <n v="50"/>
    <s v="Contabil"/>
    <x v="3"/>
    <s v="Iași"/>
    <s v="Full-time"/>
    <n v="4900"/>
    <s v="Activ"/>
    <m/>
    <m/>
    <s v="simona.tudor455@technova.ro"/>
    <x v="5"/>
    <n v="35"/>
    <n v="5.4"/>
    <s v="&gt; 5 ani"/>
    <n v="0"/>
  </r>
  <r>
    <x v="341"/>
    <s v="Rusu"/>
    <s v="Cristina"/>
    <s v="F"/>
    <d v="1992-03-28T00:00:00"/>
    <d v="2019-04-13T00:00:00"/>
    <n v="40"/>
    <s v="Specialist HR"/>
    <x v="3"/>
    <s v="București"/>
    <s v="Full-time"/>
    <n v="3450"/>
    <s v="Activ"/>
    <m/>
    <m/>
    <m/>
    <x v="6"/>
    <n v="33"/>
    <n v="6.7"/>
    <s v="&gt; 5 ani"/>
    <n v="0"/>
  </r>
  <r>
    <x v="342"/>
    <s v="Nistor"/>
    <s v="Ana"/>
    <s v="F"/>
    <d v="1976-02-16T00:00:00"/>
    <d v="2016-12-22T00:00:00"/>
    <n v="40"/>
    <s v="Recruiter"/>
    <x v="1"/>
    <s v="București"/>
    <s v="Full-time"/>
    <n v="5500"/>
    <s v="Plecat"/>
    <d v="2021-09-15T00:00:00"/>
    <s v="Echilibru viață-muncă"/>
    <s v="ana.nistor277@technova.ro"/>
    <x v="6"/>
    <n v="49"/>
    <n v="4.7"/>
    <s v="3–5 ani"/>
    <n v="1"/>
  </r>
  <r>
    <x v="343"/>
    <s v="Preda"/>
    <s v="Andrei"/>
    <s v="M"/>
    <d v="1974-04-21T00:00:00"/>
    <d v="2018-07-21T00:00:00"/>
    <n v="20"/>
    <s v="Manager Vânzări"/>
    <x v="0"/>
    <s v="București"/>
    <s v="Full-time"/>
    <n v="9450"/>
    <s v="Plecat"/>
    <d v="2023-12-29T00:00:00"/>
    <s v="Relația cu managerul"/>
    <s v="andrei.preda009@technova.ro"/>
    <x v="4"/>
    <n v="51"/>
    <n v="5.4"/>
    <s v="&gt; 5 ani"/>
    <n v="1"/>
  </r>
  <r>
    <x v="344"/>
    <s v="Munteanu"/>
    <s v="Oana"/>
    <s v="F"/>
    <d v="1987-10-24T00:00:00"/>
    <d v="2017-05-29T00:00:00"/>
    <n v="30"/>
    <s v="Content Creator"/>
    <x v="3"/>
    <s v="București"/>
    <s v="Full-time"/>
    <n v="3950"/>
    <s v="Plecat"/>
    <d v="2018-09-25T00:00:00"/>
    <s v="Echilibru viață-muncă"/>
    <s v="oana.munteanu310@technova.ro"/>
    <x v="3"/>
    <n v="38"/>
    <n v="1.3"/>
    <s v="1–3 ani"/>
    <n v="1"/>
  </r>
  <r>
    <x v="345"/>
    <s v="Matei"/>
    <s v="Cristina"/>
    <s v="F"/>
    <d v="1978-10-10T00:00:00"/>
    <d v="2023-11-29T00:00:00"/>
    <n v="10"/>
    <s v="Tester QA"/>
    <x v="2"/>
    <s v="București"/>
    <s v="Full-time"/>
    <n v="13850"/>
    <s v="Activ"/>
    <m/>
    <m/>
    <s v="cristina.matei284@technova.ro"/>
    <x v="2"/>
    <n v="47"/>
    <n v="2.1"/>
    <s v="1–3 ani"/>
    <n v="0"/>
  </r>
  <r>
    <x v="346"/>
    <s v="Lungu"/>
    <s v="Adrian"/>
    <s v="M"/>
    <d v="1989-02-08T00:00:00"/>
    <d v="2019-01-06T00:00:00"/>
    <n v="20"/>
    <s v="Key Account Manager"/>
    <x v="2"/>
    <s v="Timișoara"/>
    <s v="Part-time"/>
    <n v="7800"/>
    <s v="Activ"/>
    <m/>
    <m/>
    <s v="adrian.lungu465@technova.ro"/>
    <x v="4"/>
    <n v="36"/>
    <n v="7"/>
    <s v="&gt; 5 ani"/>
    <n v="0"/>
  </r>
  <r>
    <x v="347"/>
    <s v="Ciobanu"/>
    <s v="Simona"/>
    <s v="F"/>
    <d v="1973-05-12T00:00:00"/>
    <d v="2024-01-24T00:00:00"/>
    <n v="60"/>
    <s v="Specialist Suport"/>
    <x v="2"/>
    <s v="București"/>
    <s v="Full-time"/>
    <n v="6800"/>
    <s v="Plecat"/>
    <d v="2024-11-07T00:00:00"/>
    <s v="Nespecificat"/>
    <s v="simona.ciobanu093@technova.ro"/>
    <x v="0"/>
    <n v="52"/>
    <n v="0.8"/>
    <s v="&lt; 1 an"/>
    <n v="1"/>
  </r>
  <r>
    <x v="348"/>
    <s v="Toma"/>
    <s v="Daniel"/>
    <s v="M"/>
    <d v="1985-09-23T00:00:00"/>
    <d v="2022-02-16T00:00:00"/>
    <n v="30"/>
    <s v="Specialist Marketing"/>
    <x v="3"/>
    <s v="Cluj-Napoca"/>
    <s v="Full-time"/>
    <n v="4050"/>
    <s v="Plecat"/>
    <d v="2023-05-10T00:00:00"/>
    <s v="Salariu mai bun în altă parte"/>
    <s v="daniel.toma253@technova.ro"/>
    <x v="3"/>
    <n v="40"/>
    <n v="1.2"/>
    <s v="1–3 ani"/>
    <n v="1"/>
  </r>
  <r>
    <x v="349"/>
    <s v="Moldovan"/>
    <s v="Cristian"/>
    <s v="M"/>
    <d v="1972-09-08T00:00:00"/>
    <d v="2016-06-05T00:00:00"/>
    <n v="10"/>
    <s v="Manager IT"/>
    <x v="0"/>
    <s v="București"/>
    <s v="Full-time"/>
    <n v="17900"/>
    <s v="Plecat"/>
    <d v="2018-12-19T00:00:00"/>
    <s v="Salariu mai bun în altă parte"/>
    <s v="cristian.moldovan033@technova.ro"/>
    <x v="2"/>
    <n v="53"/>
    <n v="2.5"/>
    <s v="1–3 ani"/>
    <n v="1"/>
  </r>
  <r>
    <x v="350"/>
    <s v="Popescu"/>
    <s v="Oana"/>
    <s v="F"/>
    <d v="1992-07-28T00:00:00"/>
    <d v="2020-04-10T00:00:00"/>
    <n v="60"/>
    <s v="Operator Call Center"/>
    <x v="2"/>
    <s v="București"/>
    <s v="Full-time"/>
    <n v="6200"/>
    <s v="Activ"/>
    <m/>
    <m/>
    <s v="oana.popescu136@technova.ro"/>
    <x v="0"/>
    <n v="33"/>
    <n v="5.7"/>
    <s v="&gt; 5 ani"/>
    <n v="0"/>
  </r>
  <r>
    <x v="351"/>
    <s v="Constantin"/>
    <s v="Radu"/>
    <s v="M"/>
    <d v="1996-11-07T00:00:00"/>
    <d v="2020-10-11T00:00:00"/>
    <n v="70"/>
    <s v="Specialist Operațiuni"/>
    <x v="3"/>
    <s v="Timișoara"/>
    <s v="Full-time"/>
    <n v="4400"/>
    <s v="Activ"/>
    <m/>
    <m/>
    <s v="radu.constantin023@technova.ro"/>
    <x v="1"/>
    <n v="29"/>
    <n v="5.2"/>
    <s v="&gt; 5 ani"/>
    <n v="0"/>
  </r>
  <r>
    <x v="352"/>
    <s v="Neagu"/>
    <s v="Cătălin"/>
    <s v="M"/>
    <d v="1979-06-01T00:00:00"/>
    <d v="2022-08-30T00:00:00"/>
    <n v="50"/>
    <s v="Analist Financiar"/>
    <x v="1"/>
    <s v="București"/>
    <s v="Full-time"/>
    <n v="7450"/>
    <s v="Activ"/>
    <m/>
    <m/>
    <s v="catalin.neagu063@technova.ro"/>
    <x v="5"/>
    <n v="46"/>
    <n v="3.3"/>
    <s v="3–5 ani"/>
    <n v="0"/>
  </r>
  <r>
    <x v="353"/>
    <s v="Neagu"/>
    <s v="Cristina"/>
    <s v="F"/>
    <d v="2000-04-19T00:00:00"/>
    <d v="2021-07-11T00:00:00"/>
    <n v="20"/>
    <s v="Agent Vânzări"/>
    <x v="1"/>
    <s v="București"/>
    <s v="Full-time"/>
    <n v="4400"/>
    <s v="Plecat"/>
    <d v="2024-05-03T00:00:00"/>
    <s v="Salariu mai bun în altă parte"/>
    <s v="cristina.neagu476@technova.ro"/>
    <x v="4"/>
    <n v="25"/>
    <n v="2.8"/>
    <s v="1–3 ani"/>
    <n v="1"/>
  </r>
  <r>
    <x v="354"/>
    <s v="Matei"/>
    <s v="Raluca"/>
    <s v="F"/>
    <d v="1999-04-24T00:00:00"/>
    <d v="2023-05-23T00:00:00"/>
    <n v="50"/>
    <s v="Contabil"/>
    <x v="3"/>
    <s v="Iași"/>
    <s v="Full-time"/>
    <n v="4600"/>
    <s v="Activ"/>
    <m/>
    <m/>
    <s v="raluca.matei216@technova.ro"/>
    <x v="5"/>
    <n v="26"/>
    <n v="2.6"/>
    <s v="1–3 ani"/>
    <n v="0"/>
  </r>
  <r>
    <x v="355"/>
    <s v="Moldovan"/>
    <s v="Bogdan"/>
    <s v="M"/>
    <d v="1996-08-18T00:00:00"/>
    <d v="2017-12-07T00:00:00"/>
    <n v="10"/>
    <s v="Programator"/>
    <x v="3"/>
    <s v="București"/>
    <s v="Full-time"/>
    <n v="5750"/>
    <s v="Activ"/>
    <m/>
    <m/>
    <s v="bogdan.moldovan404@technova.ro"/>
    <x v="2"/>
    <n v="29"/>
    <n v="8.1"/>
    <s v="&gt; 5 ani"/>
    <n v="0"/>
  </r>
  <r>
    <x v="356"/>
    <s v="Rusu"/>
    <s v="Diana"/>
    <s v="F"/>
    <d v="1977-10-08T00:00:00"/>
    <d v="2022-01-21T00:00:00"/>
    <n v="10"/>
    <s v="DevOps Engineer"/>
    <x v="1"/>
    <s v="București"/>
    <s v="Full-time"/>
    <n v="8600"/>
    <s v="Activ"/>
    <m/>
    <m/>
    <s v="diana.rusu258@technova.ro"/>
    <x v="2"/>
    <n v="48"/>
    <n v="3.9"/>
    <s v="3–5 ani"/>
    <n v="0"/>
  </r>
  <r>
    <x v="357"/>
    <s v="Constantin"/>
    <s v="Andreea"/>
    <s v="F"/>
    <d v="1978-08-19T00:00:00"/>
    <d v="2022-10-13T00:00:00"/>
    <n v="10"/>
    <s v="Tester QA"/>
    <x v="1"/>
    <s v="București"/>
    <s v="Full-time"/>
    <n v="7800"/>
    <s v="Activ"/>
    <m/>
    <m/>
    <s v="andreea.constantin053@technova.ro"/>
    <x v="2"/>
    <n v="47"/>
    <n v="3.2"/>
    <s v="3–5 ani"/>
    <n v="0"/>
  </r>
  <r>
    <x v="358"/>
    <s v="Oprea"/>
    <s v="Irina"/>
    <s v="F"/>
    <d v="1976-05-16T00:00:00"/>
    <d v="2017-08-19T00:00:00"/>
    <n v="20"/>
    <s v="Key Account Manager"/>
    <x v="1"/>
    <s v="Iași"/>
    <s v="Full-time"/>
    <n v="4750"/>
    <s v="Activ"/>
    <m/>
    <m/>
    <s v="irina.oprea405@technova.ro"/>
    <x v="4"/>
    <n v="49"/>
    <n v="8.4"/>
    <s v="&gt; 5 ani"/>
    <n v="0"/>
  </r>
  <r>
    <x v="359"/>
    <s v="Florea"/>
    <s v="Alexandru"/>
    <s v="M"/>
    <d v="1978-10-23T00:00:00"/>
    <d v="2016-04-30T00:00:00"/>
    <n v="60"/>
    <s v="Specialist Suport"/>
    <x v="2"/>
    <s v="Iași"/>
    <s v="Full-time"/>
    <n v="5450"/>
    <s v="Activ"/>
    <m/>
    <m/>
    <s v="alexandru.florea174@technova.ro"/>
    <x v="0"/>
    <n v="47"/>
    <n v="9.6999999999999993"/>
    <s v="&gt; 5 ani"/>
    <n v="0"/>
  </r>
  <r>
    <x v="360"/>
    <s v="Dinu"/>
    <s v="Mihaela"/>
    <s v="F"/>
    <d v="1994-02-20T00:00:00"/>
    <d v="2016-02-25T00:00:00"/>
    <n v="60"/>
    <s v="Specialist Suport"/>
    <x v="3"/>
    <s v="București"/>
    <s v="Full-time"/>
    <n v="2825"/>
    <s v="Activ"/>
    <m/>
    <m/>
    <s v="mihaela.dinu036@technova.ro"/>
    <x v="0"/>
    <n v="31"/>
    <n v="9.8000000000000007"/>
    <s v="&gt; 5 ani"/>
    <n v="0"/>
  </r>
  <r>
    <x v="361"/>
    <s v="Stoica"/>
    <s v="Mihaela"/>
    <s v="F"/>
    <d v="1982-04-25T00:00:00"/>
    <d v="2023-05-28T00:00:00"/>
    <n v="10"/>
    <s v="Manager IT"/>
    <x v="0"/>
    <s v="București"/>
    <s v="Full-time"/>
    <n v="17650"/>
    <s v="Activ"/>
    <m/>
    <m/>
    <s v="mihaela.stoica179@technova.ro"/>
    <x v="2"/>
    <n v="43"/>
    <n v="2.6"/>
    <s v="1–3 ani"/>
    <n v="0"/>
  </r>
  <r>
    <x v="362"/>
    <s v="Sandu"/>
    <s v="Radu"/>
    <s v="M"/>
    <d v="1993-05-11T00:00:00"/>
    <d v="2017-12-08T00:00:00"/>
    <n v="10"/>
    <s v="Programator"/>
    <x v="3"/>
    <s v="București"/>
    <s v="Full-time"/>
    <n v="6750"/>
    <s v="Plecat"/>
    <d v="2020-07-21T00:00:00"/>
    <s v="Nespecificat"/>
    <s v="radu.sandu168@technova.ro"/>
    <x v="2"/>
    <n v="32"/>
    <n v="2.6"/>
    <s v="1–3 ani"/>
    <n v="1"/>
  </r>
  <r>
    <x v="363"/>
    <s v="Toma"/>
    <s v="Ion"/>
    <s v="M"/>
    <d v="1972-01-17T00:00:00"/>
    <d v="2023-10-31T00:00:00"/>
    <n v="60"/>
    <s v="Manager Suport Clienți"/>
    <x v="0"/>
    <s v="Iași"/>
    <s v="Full-time"/>
    <n v="7950"/>
    <s v="Activ"/>
    <m/>
    <m/>
    <s v="ion.toma227@technova.ro"/>
    <x v="0"/>
    <n v="53"/>
    <n v="2.2000000000000002"/>
    <s v="1–3 ani"/>
    <n v="0"/>
  </r>
  <r>
    <x v="364"/>
    <s v="Popa"/>
    <s v="Elena"/>
    <s v="F"/>
    <d v="1974-06-13T00:00:00"/>
    <d v="2022-04-13T00:00:00"/>
    <n v="70"/>
    <s v="Specialist Operațiuni"/>
    <x v="2"/>
    <s v="București"/>
    <s v="Full-time"/>
    <n v="9000"/>
    <s v="Activ"/>
    <m/>
    <m/>
    <s v="elena.popa121@technova.ro"/>
    <x v="1"/>
    <n v="51"/>
    <n v="3.7"/>
    <s v="3–5 ani"/>
    <n v="0"/>
  </r>
  <r>
    <x v="365"/>
    <s v="Popa"/>
    <s v="Adrian"/>
    <s v="M"/>
    <d v="1987-06-19T00:00:00"/>
    <d v="2016-09-27T00:00:00"/>
    <n v="10"/>
    <s v="Tester QA"/>
    <x v="3"/>
    <s v="București"/>
    <s v="Full-time"/>
    <n v="6800"/>
    <s v="Activ"/>
    <m/>
    <m/>
    <s v="adrian.popa276@technova.ro"/>
    <x v="2"/>
    <n v="38"/>
    <n v="9.3000000000000007"/>
    <s v="&gt; 5 ani"/>
    <n v="0"/>
  </r>
  <r>
    <x v="366"/>
    <s v="Neagu"/>
    <s v="Robert"/>
    <s v="M"/>
    <d v="1999-03-09T00:00:00"/>
    <d v="2022-02-15T00:00:00"/>
    <n v="70"/>
    <s v="Coordonator Logistică"/>
    <x v="3"/>
    <s v="Timișoara"/>
    <s v="Full-time"/>
    <n v="3450"/>
    <s v="Activ"/>
    <m/>
    <m/>
    <s v="robert.neagu045@technova.ro"/>
    <x v="1"/>
    <n v="26"/>
    <n v="3.9"/>
    <s v="3–5 ani"/>
    <n v="0"/>
  </r>
  <r>
    <x v="367"/>
    <s v="Popescu"/>
    <s v="Diana"/>
    <s v="F"/>
    <d v="1992-10-27T00:00:00"/>
    <d v="2023-02-12T00:00:00"/>
    <n v="30"/>
    <s v="Specialist Marketing"/>
    <x v="2"/>
    <s v="Iași"/>
    <s v="Full-time"/>
    <n v="8500"/>
    <s v="Activ"/>
    <m/>
    <m/>
    <s v="diana.popescu301@technova.ro"/>
    <x v="3"/>
    <n v="33"/>
    <n v="2.9"/>
    <s v="1–3 ani"/>
    <n v="0"/>
  </r>
  <r>
    <x v="368"/>
    <s v="Rusu"/>
    <s v="Cristina"/>
    <s v="F"/>
    <d v="1996-01-14T00:00:00"/>
    <d v="2021-06-29T00:00:00"/>
    <n v="20"/>
    <s v="Agent Vânzări"/>
    <x v="1"/>
    <s v="București"/>
    <s v="Full-time"/>
    <n v="5200"/>
    <s v="Activ"/>
    <m/>
    <m/>
    <s v="cristina.rusu325@technova.ro"/>
    <x v="4"/>
    <n v="29"/>
    <n v="4.5"/>
    <s v="3–5 ani"/>
    <n v="0"/>
  </r>
  <r>
    <x v="369"/>
    <s v="Sandu"/>
    <s v="Ion"/>
    <s v="M"/>
    <d v="1994-11-20T00:00:00"/>
    <d v="2017-10-17T00:00:00"/>
    <n v="30"/>
    <s v="Content Creator"/>
    <x v="1"/>
    <s v="București"/>
    <s v="Full-time"/>
    <n v="6700"/>
    <s v="Plecat"/>
    <d v="2018-05-01T00:00:00"/>
    <s v="Echilibru viață-muncă"/>
    <s v="ion.sandu077@technova.ro"/>
    <x v="3"/>
    <n v="31"/>
    <n v="0.5"/>
    <s v="&lt; 1 an"/>
    <n v="1"/>
  </r>
  <r>
    <x v="370"/>
    <s v="Neagu"/>
    <s v="Stefan"/>
    <s v="M"/>
    <d v="1979-12-04T00:00:00"/>
    <d v="2023-10-06T00:00:00"/>
    <n v="60"/>
    <s v="Specialist Suport"/>
    <x v="1"/>
    <s v="Iași"/>
    <s v="Full-time"/>
    <n v="4450"/>
    <s v="Plecat"/>
    <d v="2025-03-16T00:00:00"/>
    <s v="Lipsa oportunităților de promovare"/>
    <s v="stefan.neagu209@technova.ro"/>
    <x v="0"/>
    <n v="46"/>
    <n v="1.4"/>
    <s v="1–3 ani"/>
    <n v="1"/>
  </r>
  <r>
    <x v="371"/>
    <s v="Ciobanu"/>
    <s v="Irina"/>
    <s v="F"/>
    <d v="2001-09-13T00:00:00"/>
    <d v="2025-07-01T00:00:00"/>
    <n v="20"/>
    <s v="Agent Vânzări"/>
    <x v="3"/>
    <s v="București"/>
    <s v="Full-time"/>
    <n v="3350"/>
    <s v="Activ"/>
    <m/>
    <m/>
    <s v="irina.ciobanu369@technova.ro"/>
    <x v="4"/>
    <n v="24"/>
    <n v="0.5"/>
    <s v="&lt; 1 an"/>
    <n v="0"/>
  </r>
  <r>
    <x v="372"/>
    <s v="Ciobanu"/>
    <s v="Simona"/>
    <s v="F"/>
    <d v="1997-06-20T00:00:00"/>
    <d v="2025-01-11T00:00:00"/>
    <n v="20"/>
    <s v="Key Account Manager"/>
    <x v="1"/>
    <s v="București"/>
    <s v="Full-time"/>
    <n v="4350"/>
    <s v="Activ"/>
    <m/>
    <m/>
    <s v="simona.ciobanu213@technova.ro"/>
    <x v="4"/>
    <n v="28"/>
    <n v="1"/>
    <s v="1–3 ani"/>
    <n v="0"/>
  </r>
  <r>
    <x v="373"/>
    <s v="Moldovan"/>
    <s v="Andreea"/>
    <s v="F"/>
    <d v="1986-06-08T00:00:00"/>
    <d v="2020-08-08T00:00:00"/>
    <n v="10"/>
    <s v="Manager IT"/>
    <x v="0"/>
    <s v="București"/>
    <s v="Part-time"/>
    <n v="17600"/>
    <s v="Activ"/>
    <m/>
    <m/>
    <s v="andreea.moldovan268@technova.ro"/>
    <x v="2"/>
    <n v="39"/>
    <n v="5.4"/>
    <s v="&gt; 5 ani"/>
    <n v="0"/>
  </r>
  <r>
    <x v="374"/>
    <s v="Tudor"/>
    <s v="Bianca"/>
    <s v="F"/>
    <d v="1999-12-25T00:00:00"/>
    <d v="2022-04-29T00:00:00"/>
    <n v="60"/>
    <s v="Specialist Suport"/>
    <x v="1"/>
    <s v="București"/>
    <s v="Full-time"/>
    <n v="3550"/>
    <s v="Plecat"/>
    <d v="2024-04-24T00:00:00"/>
    <s v="Lipsa oportunităților de promovare"/>
    <s v="bianca.tudor312@technova.ro"/>
    <x v="0"/>
    <n v="26"/>
    <n v="2"/>
    <s v="1–3 ani"/>
    <n v="1"/>
  </r>
  <r>
    <x v="375"/>
    <s v="Preda"/>
    <s v="Mihai"/>
    <s v="M"/>
    <d v="1986-06-08T00:00:00"/>
    <d v="2020-07-12T00:00:00"/>
    <n v="50"/>
    <s v="Contabil"/>
    <x v="1"/>
    <s v="Iași"/>
    <s v="Full-time"/>
    <n v="6525"/>
    <s v="Activ"/>
    <m/>
    <m/>
    <s v="mihai.preda217@technova.ro"/>
    <x v="5"/>
    <n v="39"/>
    <n v="5.5"/>
    <s v="&gt; 5 ani"/>
    <n v="0"/>
  </r>
  <r>
    <x v="376"/>
    <s v="Voicu"/>
    <s v="Andreea"/>
    <s v="F"/>
    <d v="1980-03-11T00:00:00"/>
    <d v="2025-05-24T00:00:00"/>
    <n v="80"/>
    <s v="Consilier Juridic"/>
    <x v="3"/>
    <s v="București"/>
    <s v="Full-time"/>
    <n v="4650"/>
    <s v="Activ"/>
    <m/>
    <m/>
    <s v="andreea.voicu428@technova.ro"/>
    <x v="7"/>
    <n v="45"/>
    <n v="0.6"/>
    <s v="&lt; 1 an"/>
    <n v="0"/>
  </r>
  <r>
    <x v="377"/>
    <s v="Toma"/>
    <s v="Radu"/>
    <s v="M"/>
    <d v="1979-08-13T00:00:00"/>
    <d v="2020-10-10T00:00:00"/>
    <n v="70"/>
    <s v="Specialist Operațiuni"/>
    <x v="2"/>
    <s v="Timișoara"/>
    <s v="Full-time"/>
    <n v="7550"/>
    <s v="Plecat"/>
    <d v="2021-11-30T00:00:00"/>
    <s v="Lipsa oportunităților de promovare"/>
    <s v="radu.toma010@technova.ro"/>
    <x v="1"/>
    <n v="46"/>
    <n v="1.1000000000000001"/>
    <s v="1–3 ani"/>
    <n v="1"/>
  </r>
  <r>
    <x v="378"/>
    <s v="Voicu"/>
    <s v="Alexandru"/>
    <s v="M"/>
    <d v="2001-03-14T00:00:00"/>
    <d v="2023-09-29T00:00:00"/>
    <n v="60"/>
    <s v="Specialist Suport"/>
    <x v="3"/>
    <s v="București"/>
    <s v="Full-time"/>
    <n v="2900"/>
    <s v="Plecat"/>
    <d v="2025-12-23T00:00:00"/>
    <s v="Salariu mai bun în altă parte"/>
    <s v="alexandru.voicu398@technova.ro"/>
    <x v="0"/>
    <n v="24"/>
    <n v="2.2000000000000002"/>
    <s v="1–3 ani"/>
    <n v="1"/>
  </r>
  <r>
    <x v="379"/>
    <s v="Florea"/>
    <s v="Alexandra"/>
    <s v="F"/>
    <d v="1993-05-25T00:00:00"/>
    <d v="2019-03-18T00:00:00"/>
    <n v="10"/>
    <s v="Analist IT"/>
    <x v="3"/>
    <s v="București"/>
    <s v="Full-time"/>
    <n v="6100"/>
    <s v="Activ"/>
    <m/>
    <m/>
    <s v="alexandra.florea416@technova.ro"/>
    <x v="2"/>
    <n v="32"/>
    <n v="6.8"/>
    <s v="&gt; 5 ani"/>
    <n v="0"/>
  </r>
  <r>
    <x v="380"/>
    <s v="Tudor"/>
    <s v="Maria"/>
    <s v="F"/>
    <d v="1985-11-24T00:00:00"/>
    <d v="2023-06-02T00:00:00"/>
    <n v="50"/>
    <s v="Analist Financiar"/>
    <x v="1"/>
    <s v="Iași"/>
    <s v="Full-time"/>
    <n v="6650"/>
    <s v="Activ"/>
    <m/>
    <m/>
    <s v="maria.tudor286@technova.ro"/>
    <x v="5"/>
    <n v="40"/>
    <n v="2.6"/>
    <s v="1–3 ani"/>
    <n v="0"/>
  </r>
  <r>
    <x v="381"/>
    <s v="Dumitru"/>
    <s v="Irina"/>
    <s v="F"/>
    <d v="1995-05-08T00:00:00"/>
    <d v="2023-04-29T00:00:00"/>
    <n v="10"/>
    <s v="Analist IT"/>
    <x v="1"/>
    <s v="București"/>
    <s v="Full-time"/>
    <n v="10200"/>
    <s v="Activ"/>
    <m/>
    <m/>
    <s v="irina.dumitru296@technova.ro"/>
    <x v="2"/>
    <n v="30"/>
    <n v="2.7"/>
    <s v="1–3 ani"/>
    <n v="0"/>
  </r>
  <r>
    <x v="382"/>
    <s v="Ciobanu"/>
    <s v="Mihaela"/>
    <s v="F"/>
    <d v="1996-01-11T00:00:00"/>
    <d v="2025-05-27T00:00:00"/>
    <n v="50"/>
    <s v="Analist Financiar"/>
    <x v="3"/>
    <s v="Iași"/>
    <s v="Full-time"/>
    <n v="5400"/>
    <s v="Activ"/>
    <m/>
    <m/>
    <s v="mihaela.ciobanu105@technova.ro"/>
    <x v="5"/>
    <n v="29"/>
    <n v="0.6"/>
    <s v="&lt; 1 an"/>
    <n v="0"/>
  </r>
  <r>
    <x v="383"/>
    <s v="Sandu"/>
    <s v="Adrian"/>
    <s v="M"/>
    <d v="1984-09-13T00:00:00"/>
    <d v="2023-10-18T00:00:00"/>
    <n v="10"/>
    <s v="Analist IT"/>
    <x v="1"/>
    <s v="București"/>
    <s v="Full-time"/>
    <n v="7800"/>
    <s v="Activ"/>
    <m/>
    <m/>
    <s v="adrian.sandu313@technova.ro"/>
    <x v="2"/>
    <n v="41"/>
    <n v="2.2000000000000002"/>
    <s v="1–3 ani"/>
    <n v="0"/>
  </r>
  <r>
    <x v="384"/>
    <s v="Preda"/>
    <s v="Vlad"/>
    <s v="M"/>
    <d v="1977-11-17T00:00:00"/>
    <d v="2020-10-02T00:00:00"/>
    <n v="70"/>
    <s v="Manager Operațiuni"/>
    <x v="0"/>
    <s v="Timișoara"/>
    <s v="Full-time"/>
    <n v="11500"/>
    <s v="Activ"/>
    <m/>
    <m/>
    <s v="vlad.preda427@technova.ro"/>
    <x v="1"/>
    <n v="48"/>
    <n v="5.2"/>
    <s v="&gt; 5 ani"/>
    <n v="0"/>
  </r>
  <r>
    <x v="385"/>
    <s v="Dinu"/>
    <s v="Maria"/>
    <s v="F"/>
    <d v="1978-04-27T00:00:00"/>
    <d v="2020-12-28T00:00:00"/>
    <n v="60"/>
    <s v="Specialist Suport"/>
    <x v="2"/>
    <s v="București"/>
    <s v="Part-time"/>
    <n v="5750"/>
    <s v="Activ"/>
    <m/>
    <m/>
    <s v="maria.dinu049@technova.ro"/>
    <x v="0"/>
    <n v="47"/>
    <n v="5"/>
    <s v="&gt; 5 ani"/>
    <n v="0"/>
  </r>
  <r>
    <x v="386"/>
    <s v="Marin"/>
    <s v="Cristina"/>
    <s v="F"/>
    <d v="1994-09-21T00:00:00"/>
    <d v="2017-01-10T00:00:00"/>
    <n v="80"/>
    <s v="Consilier Juridic"/>
    <x v="1"/>
    <s v="București"/>
    <s v="Full-time"/>
    <n v="8500"/>
    <s v="Activ"/>
    <m/>
    <m/>
    <s v="cristina.marin092@technova.ro"/>
    <x v="7"/>
    <n v="31"/>
    <n v="9"/>
    <s v="&gt; 5 ani"/>
    <n v="0"/>
  </r>
  <r>
    <x v="387"/>
    <s v="Nistor"/>
    <s v="Cătălin"/>
    <s v="M"/>
    <d v="1995-09-13T00:00:00"/>
    <d v="2019-05-29T00:00:00"/>
    <n v="70"/>
    <s v="Specialist Operațiuni"/>
    <x v="2"/>
    <s v="București"/>
    <s v="Full-time"/>
    <n v="8150"/>
    <s v="Activ"/>
    <m/>
    <m/>
    <s v="catalin.nistor183@technova.ro"/>
    <x v="1"/>
    <n v="30"/>
    <n v="6.6"/>
    <s v="&gt; 5 ani"/>
    <n v="0"/>
  </r>
  <r>
    <x v="388"/>
    <s v="Dumitru"/>
    <s v="Bianca"/>
    <s v="F"/>
    <d v="1982-04-02T00:00:00"/>
    <d v="2024-12-17T00:00:00"/>
    <n v="50"/>
    <s v="Analist Financiar"/>
    <x v="1"/>
    <s v="Iași"/>
    <s v="Full-time"/>
    <n v="6550"/>
    <s v="Activ"/>
    <m/>
    <m/>
    <s v="bianca.dumitru316@technova.ro"/>
    <x v="5"/>
    <n v="43"/>
    <n v="1"/>
    <s v="1–3 ani"/>
    <n v="0"/>
  </r>
  <r>
    <x v="389"/>
    <s v="Dumitru"/>
    <s v="George"/>
    <s v="M"/>
    <d v="1979-10-09T00:00:00"/>
    <d v="2022-12-22T00:00:00"/>
    <n v="20"/>
    <s v="Agent Vânzări"/>
    <x v="1"/>
    <s v="București"/>
    <s v="Full-time"/>
    <n v="5750"/>
    <s v="Activ"/>
    <m/>
    <m/>
    <s v="george.dumitru466@technova.ro"/>
    <x v="4"/>
    <n v="46"/>
    <n v="3"/>
    <s v="3–5 ani"/>
    <n v="0"/>
  </r>
  <r>
    <x v="390"/>
    <s v="Matei"/>
    <s v="Mihai"/>
    <s v="M"/>
    <d v="1986-02-22T00:00:00"/>
    <d v="2017-08-24T00:00:00"/>
    <n v="70"/>
    <s v="Specialist Operațiuni"/>
    <x v="2"/>
    <s v="Timișoara"/>
    <s v="Full-time"/>
    <n v="8150"/>
    <s v="Activ"/>
    <m/>
    <m/>
    <s v="mihai.matei173@technova.ro"/>
    <x v="1"/>
    <n v="39"/>
    <n v="8.4"/>
    <s v="&gt; 5 ani"/>
    <n v="0"/>
  </r>
  <r>
    <x v="391"/>
    <s v="Dumitru"/>
    <s v="Larisa"/>
    <s v="F"/>
    <d v="1988-01-22T00:00:00"/>
    <d v="2021-05-25T00:00:00"/>
    <n v="30"/>
    <s v="Manager Marketing"/>
    <x v="0"/>
    <s v="Cluj-Napoca"/>
    <s v="Full-time"/>
    <n v="8950"/>
    <s v="Activ"/>
    <m/>
    <m/>
    <s v="larisa.dumitru233@technova.ro"/>
    <x v="3"/>
    <n v="37"/>
    <n v="4.5999999999999996"/>
    <s v="3–5 ani"/>
    <n v="0"/>
  </r>
  <r>
    <x v="392"/>
    <s v="Nistor"/>
    <s v="Robert"/>
    <s v="M"/>
    <d v="1987-11-05T00:00:00"/>
    <d v="2017-01-08T00:00:00"/>
    <n v="50"/>
    <s v="Analist Financiar"/>
    <x v="1"/>
    <s v="Iași"/>
    <s v="Full-time"/>
    <n v="7100"/>
    <s v="Activ"/>
    <m/>
    <m/>
    <s v="robert.nistor462@technova.ro"/>
    <x v="5"/>
    <n v="38"/>
    <n v="9"/>
    <s v="&gt; 5 ani"/>
    <n v="0"/>
  </r>
  <r>
    <x v="393"/>
    <s v="Cozma"/>
    <s v="Oana"/>
    <s v="F"/>
    <d v="1979-06-16T00:00:00"/>
    <d v="2017-10-11T00:00:00"/>
    <n v="10"/>
    <s v="Manager IT"/>
    <x v="0"/>
    <s v="București"/>
    <s v="Full-time"/>
    <n v="16250"/>
    <s v="Activ"/>
    <m/>
    <m/>
    <s v="oana.cozma037@technova.ro"/>
    <x v="2"/>
    <n v="46"/>
    <n v="8.1999999999999993"/>
    <s v="&gt; 5 ani"/>
    <n v="0"/>
  </r>
  <r>
    <x v="394"/>
    <s v="Dinu"/>
    <s v="Ana"/>
    <s v="F"/>
    <d v="1993-02-12T00:00:00"/>
    <d v="2021-07-29T00:00:00"/>
    <n v="10"/>
    <s v="DevOps Engineer"/>
    <x v="3"/>
    <s v="Timișoara"/>
    <s v="Part-time"/>
    <n v="5850"/>
    <s v="Activ"/>
    <m/>
    <m/>
    <s v="ana.dinu157@technova.ro"/>
    <x v="2"/>
    <n v="32"/>
    <n v="4.4000000000000004"/>
    <s v="3–5 ani"/>
    <n v="0"/>
  </r>
  <r>
    <x v="395"/>
    <s v="Sandu"/>
    <s v="Ion"/>
    <s v="M"/>
    <d v="1991-02-21T00:00:00"/>
    <d v="2020-07-10T00:00:00"/>
    <n v="10"/>
    <s v="Programator"/>
    <x v="3"/>
    <s v="București"/>
    <s v="Full-time"/>
    <n v="7650"/>
    <s v="Plecat"/>
    <d v="2024-05-04T00:00:00"/>
    <s v="Lipsa oportunităților de promovare"/>
    <s v="ion.sandu003@technova.ro"/>
    <x v="2"/>
    <n v="34"/>
    <n v="3.8"/>
    <s v="3–5 ani"/>
    <n v="1"/>
  </r>
  <r>
    <x v="396"/>
    <s v="Neagu"/>
    <s v="Ionuț"/>
    <s v="M"/>
    <d v="1986-01-14T00:00:00"/>
    <d v="2024-05-27T00:00:00"/>
    <n v="20"/>
    <s v="Key Account Manager"/>
    <x v="1"/>
    <s v="București"/>
    <s v="Full-time"/>
    <n v="5350"/>
    <s v="Activ"/>
    <m/>
    <m/>
    <s v="ionut.neagu243@technova.ro"/>
    <x v="4"/>
    <n v="39"/>
    <n v="1.6"/>
    <s v="1–3 ani"/>
    <n v="0"/>
  </r>
  <r>
    <x v="397"/>
    <s v="Dobre"/>
    <s v="Alexandru"/>
    <s v="M"/>
    <d v="1981-08-18T00:00:00"/>
    <d v="2017-07-11T00:00:00"/>
    <n v="10"/>
    <s v="DevOps Engineer"/>
    <x v="1"/>
    <s v="București"/>
    <s v="Full-time"/>
    <n v="9850"/>
    <s v="Activ"/>
    <m/>
    <m/>
    <s v="alexandru.dobre309@technova.ro"/>
    <x v="2"/>
    <n v="44"/>
    <n v="8.5"/>
    <s v="&gt; 5 ani"/>
    <n v="0"/>
  </r>
  <r>
    <x v="398"/>
    <s v="Matei"/>
    <s v="Mihaela"/>
    <s v="F"/>
    <d v="1998-12-05T00:00:00"/>
    <d v="2021-08-10T00:00:00"/>
    <n v="20"/>
    <s v="Agent Vânzări"/>
    <x v="3"/>
    <s v="București"/>
    <s v="Part-time"/>
    <n v="3750"/>
    <s v="Plecat"/>
    <d v="2025-08-05T00:00:00"/>
    <s v="Salariu mai bun în altă parte"/>
    <s v="mihaela.matei142@technova.ro"/>
    <x v="4"/>
    <n v="27"/>
    <n v="4"/>
    <s v="3–5 ani"/>
    <n v="1"/>
  </r>
  <r>
    <x v="399"/>
    <s v="Oprea"/>
    <s v="Maria"/>
    <s v="F"/>
    <d v="1986-07-13T00:00:00"/>
    <d v="2022-10-08T00:00:00"/>
    <n v="70"/>
    <s v="Specialist Operațiuni"/>
    <x v="1"/>
    <s v="Timișoara"/>
    <s v="Full-time"/>
    <n v="4600"/>
    <s v="Activ"/>
    <m/>
    <m/>
    <s v="maria.oprea224@technova.ro"/>
    <x v="1"/>
    <n v="39"/>
    <n v="3.2"/>
    <s v="3–5 ani"/>
    <n v="0"/>
  </r>
  <r>
    <x v="400"/>
    <s v="Lungu"/>
    <s v="Bianca"/>
    <s v="F"/>
    <d v="1977-07-09T00:00:00"/>
    <d v="2024-04-27T00:00:00"/>
    <n v="70"/>
    <s v="Specialist Operațiuni"/>
    <x v="1"/>
    <s v="București"/>
    <s v="Full-time"/>
    <n v="4150"/>
    <s v="Activ"/>
    <m/>
    <m/>
    <s v="bianca.lungu353@technova.ro"/>
    <x v="1"/>
    <n v="48"/>
    <n v="1.7"/>
    <s v="1–3 ani"/>
    <n v="0"/>
  </r>
  <r>
    <x v="401"/>
    <s v="Lungu"/>
    <s v="Irina"/>
    <s v="F"/>
    <d v="1977-08-13T00:00:00"/>
    <d v="2024-06-04T00:00:00"/>
    <n v="60"/>
    <s v="Specialist Suport"/>
    <x v="1"/>
    <s v="București"/>
    <s v="Full-time"/>
    <n v="3750"/>
    <s v="Activ"/>
    <m/>
    <m/>
    <s v="irina.lungu184@technova.ro"/>
    <x v="0"/>
    <n v="48"/>
    <n v="1.6"/>
    <s v="1–3 ani"/>
    <n v="0"/>
  </r>
  <r>
    <x v="402"/>
    <s v="Matei"/>
    <s v="Ionuț"/>
    <s v="M"/>
    <d v="1982-11-13T00:00:00"/>
    <d v="2016-12-23T00:00:00"/>
    <n v="10"/>
    <s v="Analist IT"/>
    <x v="2"/>
    <s v="București"/>
    <s v="Full-time"/>
    <n v="13400"/>
    <s v="Activ"/>
    <m/>
    <m/>
    <s v="ionut.matei332@technova.ro"/>
    <x v="2"/>
    <n v="43"/>
    <n v="9"/>
    <s v="&gt; 5 ani"/>
    <n v="0"/>
  </r>
  <r>
    <x v="403"/>
    <s v="Stan"/>
    <s v="Mihai"/>
    <s v="M"/>
    <d v="1995-10-01T00:00:00"/>
    <d v="2020-02-23T00:00:00"/>
    <n v="80"/>
    <s v="Consilier Juridic"/>
    <x v="2"/>
    <s v="București"/>
    <s v="Full-time"/>
    <n v="11750"/>
    <s v="Activ"/>
    <m/>
    <m/>
    <s v="mihai.stan435@technova.ro"/>
    <x v="7"/>
    <n v="30"/>
    <n v="5.9"/>
    <s v="&gt; 5 ani"/>
    <n v="0"/>
  </r>
  <r>
    <x v="404"/>
    <s v="Sandu"/>
    <s v="Ana"/>
    <s v="F"/>
    <d v="1999-04-28T00:00:00"/>
    <d v="2021-09-17T00:00:00"/>
    <n v="20"/>
    <s v="Key Account Manager"/>
    <x v="1"/>
    <s v="București"/>
    <s v="Full-time"/>
    <n v="4750"/>
    <s v="Plecat"/>
    <d v="2025-12-18T00:00:00"/>
    <s v="Relocare"/>
    <s v="ana.sandu418@technova.ro"/>
    <x v="4"/>
    <n v="26"/>
    <n v="4.3"/>
    <s v="3–5 ani"/>
    <n v="1"/>
  </r>
  <r>
    <x v="405"/>
    <s v="Tudor"/>
    <s v="Cristian"/>
    <s v="M"/>
    <d v="1988-11-10T00:00:00"/>
    <d v="2022-07-03T00:00:00"/>
    <n v="10"/>
    <s v="Analist IT"/>
    <x v="3"/>
    <s v="București"/>
    <s v="Full-time"/>
    <n v="5750"/>
    <s v="Activ"/>
    <m/>
    <m/>
    <s v="cristian.tudor161@technova.ro"/>
    <x v="2"/>
    <n v="37"/>
    <n v="3.5"/>
    <s v="3–5 ani"/>
    <n v="0"/>
  </r>
  <r>
    <x v="406"/>
    <s v="Rusu"/>
    <s v="Maria"/>
    <s v="F"/>
    <d v="1992-06-14T00:00:00"/>
    <d v="2018-06-03T00:00:00"/>
    <n v="30"/>
    <s v="Content Creator"/>
    <x v="1"/>
    <s v="Cluj-Napoca"/>
    <s v="Full-time"/>
    <n v="6150"/>
    <s v="Plecat"/>
    <d v="2022-02-21T00:00:00"/>
    <s v="Relația cu managerul"/>
    <s v="maria.rusu337@technova.ro"/>
    <x v="3"/>
    <n v="33"/>
    <n v="3.7"/>
    <s v="3–5 ani"/>
    <n v="1"/>
  </r>
  <r>
    <x v="407"/>
    <s v="Surdu"/>
    <s v="Daniel"/>
    <s v="M"/>
    <d v="1983-07-07T00:00:00"/>
    <d v="2022-05-15T00:00:00"/>
    <n v="60"/>
    <s v="Specialist Suport"/>
    <x v="1"/>
    <s v="Iași"/>
    <s v="Full-time"/>
    <n v="3650"/>
    <s v="Activ"/>
    <m/>
    <m/>
    <s v="daniel.surdu401@technova.ro"/>
    <x v="0"/>
    <n v="42"/>
    <n v="3.6"/>
    <s v="3–5 ani"/>
    <n v="0"/>
  </r>
  <r>
    <x v="408"/>
    <s v="Sandu"/>
    <s v="Larisa"/>
    <s v="F"/>
    <d v="1978-04-07T00:00:00"/>
    <d v="2020-12-02T00:00:00"/>
    <n v="60"/>
    <s v="Operator Call Center"/>
    <x v="1"/>
    <s v="Timișoara"/>
    <s v="Full-time"/>
    <n v="3850"/>
    <s v="Plecat"/>
    <d v="2022-10-10T00:00:00"/>
    <s v="Pensionare"/>
    <s v="larisa.sandu220@technova.ro"/>
    <x v="0"/>
    <n v="47"/>
    <n v="1.9"/>
    <s v="1–3 ani"/>
    <n v="1"/>
  </r>
  <r>
    <x v="409"/>
    <s v="Lungu"/>
    <s v="Mihaela"/>
    <s v="F"/>
    <d v="1983-05-08T00:00:00"/>
    <d v="2020-04-22T00:00:00"/>
    <n v="80"/>
    <s v="Consilier Juridic"/>
    <x v="3"/>
    <s v="București"/>
    <s v="Part-time"/>
    <n v="5900"/>
    <s v="Activ"/>
    <m/>
    <m/>
    <s v="mihaela.lungu381@technova.ro"/>
    <x v="7"/>
    <n v="42"/>
    <n v="5.7"/>
    <s v="&gt; 5 ani"/>
    <n v="0"/>
  </r>
  <r>
    <x v="410"/>
    <s v="Moldovan"/>
    <s v="Cătălin"/>
    <s v="M"/>
    <d v="1993-12-17T00:00:00"/>
    <d v="2019-09-04T00:00:00"/>
    <n v="80"/>
    <s v="Consilier Juridic"/>
    <x v="1"/>
    <s v="București"/>
    <s v="Full-time"/>
    <n v="8600"/>
    <s v="Activ"/>
    <m/>
    <m/>
    <s v="catalin.moldovan236@technova.ro"/>
    <x v="7"/>
    <n v="32"/>
    <n v="6.3"/>
    <s v="&gt; 5 ani"/>
    <n v="0"/>
  </r>
  <r>
    <x v="411"/>
    <s v="Barbu"/>
    <s v="Sorin"/>
    <s v="M"/>
    <d v="1994-02-27T00:00:00"/>
    <d v="2019-03-28T00:00:00"/>
    <n v="60"/>
    <s v="Operator Call Center"/>
    <x v="1"/>
    <s v="Iași"/>
    <s v="Part-time"/>
    <n v="4350"/>
    <s v="Plecat"/>
    <d v="2025-06-29T00:00:00"/>
    <s v="Relația cu managerul"/>
    <s v="sorin.barbu439@technova.ro"/>
    <x v="0"/>
    <n v="31"/>
    <n v="6.3"/>
    <s v="&gt; 5 ani"/>
    <n v="1"/>
  </r>
  <r>
    <x v="412"/>
    <s v="Rusu"/>
    <s v="Diana"/>
    <s v="F"/>
    <d v="1994-08-27T00:00:00"/>
    <d v="2019-12-12T00:00:00"/>
    <n v="10"/>
    <s v="Tester QA"/>
    <x v="3"/>
    <s v="București"/>
    <s v="Full-time"/>
    <n v="6150"/>
    <s v="Activ"/>
    <m/>
    <m/>
    <s v="diana.rusu118@technova.ro"/>
    <x v="2"/>
    <n v="31"/>
    <n v="6.1"/>
    <s v="&gt; 5 ani"/>
    <n v="0"/>
  </r>
  <r>
    <x v="413"/>
    <s v="Toma"/>
    <s v="Alexandra"/>
    <s v="F"/>
    <d v="1990-02-06T00:00:00"/>
    <d v="2021-06-05T00:00:00"/>
    <n v="30"/>
    <s v="Specialist Marketing"/>
    <x v="3"/>
    <s v="Cluj-Napoca"/>
    <s v="Full-time"/>
    <n v="3800"/>
    <s v="Plecat"/>
    <d v="2024-11-26T00:00:00"/>
    <s v="Salariu mai bun în altă parte"/>
    <s v="alexandra.toma342@technova.ro"/>
    <x v="3"/>
    <n v="35"/>
    <n v="3.5"/>
    <s v="3–5 ani"/>
    <n v="1"/>
  </r>
  <r>
    <x v="414"/>
    <s v="Matei"/>
    <s v="Bogdan"/>
    <s v="M"/>
    <d v="1995-02-16T00:00:00"/>
    <d v="2020-05-13T00:00:00"/>
    <n v="70"/>
    <s v="Coordonator Logistică"/>
    <x v="1"/>
    <s v="Cluj-Napoca"/>
    <s v="Full-time"/>
    <n v="4700"/>
    <s v="Activ"/>
    <m/>
    <m/>
    <s v="bogdan.matei002@technova.ro"/>
    <x v="1"/>
    <n v="30"/>
    <n v="5.6"/>
    <s v="&gt; 5 ani"/>
    <n v="0"/>
  </r>
  <r>
    <x v="415"/>
    <s v="Popescu"/>
    <s v="Gabriela"/>
    <s v="F"/>
    <d v="1989-02-19T00:00:00"/>
    <d v="2018-10-09T00:00:00"/>
    <n v="10"/>
    <s v="Manager IT"/>
    <x v="0"/>
    <s v="Timișoara"/>
    <s v="Full-time"/>
    <n v="18200"/>
    <s v="Activ"/>
    <m/>
    <m/>
    <s v="gabriela.popescu114@technova.ro"/>
    <x v="2"/>
    <n v="36"/>
    <n v="7.2"/>
    <s v="&gt; 5 ani"/>
    <n v="0"/>
  </r>
  <r>
    <x v="416"/>
    <s v="Dumitru"/>
    <s v="Oana"/>
    <s v="F"/>
    <d v="1993-02-08T00:00:00"/>
    <d v="2019-03-24T00:00:00"/>
    <n v="20"/>
    <s v="Agent Vânzări"/>
    <x v="1"/>
    <s v="București"/>
    <s v="Full-time"/>
    <n v="6550"/>
    <s v="Activ"/>
    <m/>
    <m/>
    <s v="oana.dumitru451@technova.ro"/>
    <x v="4"/>
    <n v="32"/>
    <n v="6.8"/>
    <s v="&gt; 5 ani"/>
    <n v="0"/>
  </r>
  <r>
    <x v="417"/>
    <s v="Toma"/>
    <s v="Alexandra"/>
    <s v="F"/>
    <d v="1979-03-08T00:00:00"/>
    <d v="2016-06-19T00:00:00"/>
    <n v="30"/>
    <s v="Content Creator"/>
    <x v="1"/>
    <s v="Cluj-Napoca"/>
    <s v="Full-time"/>
    <n v="5950"/>
    <s v="Activ"/>
    <m/>
    <m/>
    <s v="alexandra.toma175@technova.ro"/>
    <x v="3"/>
    <n v="46"/>
    <n v="9.5"/>
    <s v="&gt; 5 ani"/>
    <n v="0"/>
  </r>
  <r>
    <x v="418"/>
    <s v="Sandu"/>
    <s v="Roxana"/>
    <s v="F"/>
    <d v="1990-06-07T00:00:00"/>
    <d v="2022-09-04T00:00:00"/>
    <n v="10"/>
    <s v="Manager IT"/>
    <x v="0"/>
    <s v="București"/>
    <s v="Full-time"/>
    <n v="15450"/>
    <s v="Activ"/>
    <m/>
    <m/>
    <s v="roxana.sandu254@technova.ro"/>
    <x v="2"/>
    <n v="35"/>
    <n v="3.3"/>
    <s v="3–5 ani"/>
    <n v="0"/>
  </r>
  <r>
    <x v="419"/>
    <s v="Ene"/>
    <s v="Mihaela"/>
    <s v="F"/>
    <d v="1989-11-20T00:00:00"/>
    <d v="2019-04-17T00:00:00"/>
    <n v="20"/>
    <s v="Key Account Manager"/>
    <x v="3"/>
    <s v="București"/>
    <s v="Full-time"/>
    <n v="3750"/>
    <s v="Plecat"/>
    <d v="2023-04-20T00:00:00"/>
    <s v="Echilibru viață-muncă"/>
    <s v="mihaela.ene433@technova.ro"/>
    <x v="4"/>
    <n v="36"/>
    <n v="4"/>
    <s v="3–5 ani"/>
    <n v="1"/>
  </r>
  <r>
    <x v="420"/>
    <s v="Florea"/>
    <s v="Denisa"/>
    <s v="F"/>
    <d v="1987-04-06T00:00:00"/>
    <d v="2022-10-30T00:00:00"/>
    <n v="10"/>
    <s v="Tester QA"/>
    <x v="3"/>
    <s v="Iași"/>
    <s v="Full-time"/>
    <n v="5450"/>
    <s v="Activ"/>
    <m/>
    <m/>
    <s v="denisa.florea185@technova.ro"/>
    <x v="2"/>
    <n v="38"/>
    <n v="3.2"/>
    <s v="3–5 ani"/>
    <n v="0"/>
  </r>
  <r>
    <x v="421"/>
    <s v="Florea"/>
    <s v="Sorin"/>
    <s v="M"/>
    <d v="1988-01-14T00:00:00"/>
    <d v="2020-12-19T00:00:00"/>
    <n v="30"/>
    <s v="Content Creator"/>
    <x v="2"/>
    <s v="Cluj-Napoca"/>
    <s v="Full-time"/>
    <n v="10250"/>
    <s v="Activ"/>
    <m/>
    <m/>
    <s v="sorin.florea166@technova.ro"/>
    <x v="3"/>
    <n v="37"/>
    <n v="5"/>
    <s v="&gt; 5 ani"/>
    <n v="0"/>
  </r>
  <r>
    <x v="422"/>
    <s v="Toma"/>
    <s v="Marius"/>
    <s v="M"/>
    <d v="1995-06-18T00:00:00"/>
    <d v="2016-02-14T00:00:00"/>
    <n v="10"/>
    <s v="DevOps Engineer"/>
    <x v="3"/>
    <s v="Cluj-Napoca"/>
    <s v="Full-time"/>
    <n v="6000"/>
    <s v="Plecat"/>
    <d v="2023-04-13T00:00:00"/>
    <s v="Pensionare"/>
    <s v="marius.toma373@technova.ro"/>
    <x v="2"/>
    <n v="30"/>
    <n v="7.2"/>
    <s v="&gt; 5 ani"/>
    <n v="1"/>
  </r>
  <r>
    <x v="423"/>
    <s v="Stan"/>
    <s v="Elena"/>
    <s v="F"/>
    <d v="1977-12-15T00:00:00"/>
    <d v="2022-08-22T00:00:00"/>
    <n v="10"/>
    <s v="Tester QA"/>
    <x v="1"/>
    <s v="București"/>
    <s v="Part-time"/>
    <n v="8600"/>
    <s v="Activ"/>
    <m/>
    <m/>
    <s v="elena.stan275@technova.ro"/>
    <x v="2"/>
    <n v="48"/>
    <n v="3.4"/>
    <s v="3–5 ani"/>
    <n v="0"/>
  </r>
  <r>
    <x v="424"/>
    <s v="Toma"/>
    <s v="Daniel"/>
    <s v="M"/>
    <d v="1991-06-05T00:00:00"/>
    <d v="2016-12-12T00:00:00"/>
    <n v="60"/>
    <s v="Operator Call Center"/>
    <x v="2"/>
    <s v="Iași"/>
    <s v="Full-time"/>
    <n v="6050"/>
    <s v="Activ"/>
    <m/>
    <m/>
    <s v="daniel.toma193@technova.ro"/>
    <x v="0"/>
    <n v="34"/>
    <n v="9.1"/>
    <s v="&gt; 5 ani"/>
    <n v="0"/>
  </r>
  <r>
    <x v="425"/>
    <s v="Popescu"/>
    <s v="Ana"/>
    <s v="F"/>
    <d v="1994-09-06T00:00:00"/>
    <d v="2020-04-02T00:00:00"/>
    <n v="60"/>
    <s v="Specialist Suport"/>
    <x v="2"/>
    <s v="Iași"/>
    <s v="Full-time"/>
    <n v="5150"/>
    <s v="Activ"/>
    <m/>
    <m/>
    <s v="ana.popescu001@technova.ro"/>
    <x v="0"/>
    <n v="31"/>
    <n v="5.7"/>
    <s v="&gt; 5 ani"/>
    <n v="0"/>
  </r>
  <r>
    <x v="426"/>
    <s v="Dobre"/>
    <s v="Bianca"/>
    <s v="F"/>
    <d v="1978-03-14T00:00:00"/>
    <d v="2020-10-21T00:00:00"/>
    <n v="50"/>
    <s v="Contabil"/>
    <x v="1"/>
    <s v="Iași"/>
    <s v="Full-time"/>
    <n v="6500"/>
    <s v="Activ"/>
    <m/>
    <m/>
    <s v="bianca.dobre055@technova.ro"/>
    <x v="5"/>
    <n v="47"/>
    <n v="5.2"/>
    <s v="&gt; 5 ani"/>
    <n v="0"/>
  </r>
  <r>
    <x v="427"/>
    <s v="Matei"/>
    <s v="Ana"/>
    <s v="F"/>
    <d v="1996-03-28T00:00:00"/>
    <d v="2019-04-19T00:00:00"/>
    <n v="10"/>
    <s v="Analist IT"/>
    <x v="1"/>
    <s v="București"/>
    <s v="Part-time"/>
    <n v="7400"/>
    <s v="Activ"/>
    <m/>
    <m/>
    <s v="ana.matei376@technova.ro"/>
    <x v="2"/>
    <n v="29"/>
    <n v="6.7"/>
    <s v="&gt; 5 ani"/>
    <n v="0"/>
  </r>
  <r>
    <x v="428"/>
    <s v="Surdu"/>
    <s v="Bianca"/>
    <s v="F"/>
    <d v="1973-10-15T00:00:00"/>
    <d v="2021-01-24T00:00:00"/>
    <n v="30"/>
    <s v="Specialist Marketing"/>
    <x v="2"/>
    <s v="București"/>
    <s v="Full-time"/>
    <n v="6700"/>
    <s v="Activ"/>
    <m/>
    <m/>
    <s v="bianca.surdu029@technova.ro"/>
    <x v="3"/>
    <n v="52"/>
    <n v="4.9000000000000004"/>
    <s v="3–5 ani"/>
    <n v="0"/>
  </r>
  <r>
    <x v="429"/>
    <s v="Ene"/>
    <s v="Daniel"/>
    <s v="M"/>
    <d v="1977-04-08T00:00:00"/>
    <d v="2023-05-08T00:00:00"/>
    <n v="40"/>
    <s v="Specialist HR"/>
    <x v="1"/>
    <s v="București"/>
    <s v="Full-time"/>
    <n v="6500"/>
    <s v="Activ"/>
    <m/>
    <m/>
    <s v="daniel.ene207@technova.ro"/>
    <x v="6"/>
    <n v="48"/>
    <n v="2.6"/>
    <s v="1–3 ani"/>
    <n v="0"/>
  </r>
  <r>
    <x v="430"/>
    <s v="Cozma"/>
    <s v="Ion"/>
    <s v="M"/>
    <d v="1995-01-07T00:00:00"/>
    <d v="2021-09-15T00:00:00"/>
    <n v="10"/>
    <s v="Programator"/>
    <x v="1"/>
    <s v="București"/>
    <s v="Full-time"/>
    <n v="9350"/>
    <s v="Activ"/>
    <m/>
    <m/>
    <s v="ion.cozma384@technova.ro"/>
    <x v="2"/>
    <n v="30"/>
    <n v="4.3"/>
    <s v="3–5 ani"/>
    <n v="0"/>
  </r>
  <r>
    <x v="431"/>
    <s v="Tudor"/>
    <s v="Daniel"/>
    <s v="M"/>
    <d v="1999-03-24T00:00:00"/>
    <d v="2025-04-23T00:00:00"/>
    <n v="70"/>
    <s v="Specialist Operațiuni"/>
    <x v="1"/>
    <s v="Timișoara"/>
    <s v="Full-time"/>
    <n v="5000"/>
    <s v="Activ"/>
    <m/>
    <m/>
    <s v="daniel.tudor479@technova.ro"/>
    <x v="1"/>
    <n v="26"/>
    <n v="0.7"/>
    <s v="&lt; 1 an"/>
    <n v="0"/>
  </r>
  <r>
    <x v="432"/>
    <s v="Preda"/>
    <s v="Cătălin"/>
    <s v="M"/>
    <d v="1972-09-18T00:00:00"/>
    <d v="2018-10-17T00:00:00"/>
    <n v="80"/>
    <s v="Consilier Juridic"/>
    <x v="2"/>
    <s v="București"/>
    <s v="Part-time"/>
    <n v="9700"/>
    <s v="Activ"/>
    <m/>
    <m/>
    <s v="catalin.preda050@technova.ro"/>
    <x v="7"/>
    <n v="53"/>
    <n v="7.2"/>
    <s v="&gt; 5 ani"/>
    <n v="0"/>
  </r>
  <r>
    <x v="433"/>
    <s v="Neagu"/>
    <s v="Oana"/>
    <s v="F"/>
    <d v="1981-04-02T00:00:00"/>
    <d v="2022-04-09T00:00:00"/>
    <n v="70"/>
    <s v="Coordonator Logistică"/>
    <x v="3"/>
    <s v="București"/>
    <s v="Full-time"/>
    <n v="4050"/>
    <s v="Activ"/>
    <m/>
    <m/>
    <s v="oana.neagu351@technova.ro"/>
    <x v="1"/>
    <n v="44"/>
    <n v="3.7"/>
    <s v="3–5 ani"/>
    <n v="0"/>
  </r>
  <r>
    <x v="434"/>
    <s v="Marin"/>
    <s v="Ana"/>
    <s v="F"/>
    <d v="1986-11-23T00:00:00"/>
    <d v="2025-08-21T00:00:00"/>
    <n v="20"/>
    <s v="Key Account Manager"/>
    <x v="3"/>
    <s v="București"/>
    <s v="Full-time"/>
    <n v="4800"/>
    <s v="Plecat"/>
    <d v="2025-12-27T00:00:00"/>
    <s v="Echilibru viață-muncă"/>
    <s v="ana.marin021@technova.ro"/>
    <x v="4"/>
    <n v="39"/>
    <n v="0.4"/>
    <s v="&lt; 1 an"/>
    <n v="1"/>
  </r>
  <r>
    <x v="435"/>
    <s v="Ionescu"/>
    <s v="Ioana"/>
    <s v="F"/>
    <d v="1994-09-13T00:00:00"/>
    <d v="2018-05-18T00:00:00"/>
    <n v="80"/>
    <s v="Consilier Juridic"/>
    <x v="1"/>
    <s v="Cluj-Napoca"/>
    <s v="Full-time"/>
    <n v="7150"/>
    <s v="Activ"/>
    <m/>
    <m/>
    <s v="ioana.ionescu294@technova.ro"/>
    <x v="7"/>
    <n v="31"/>
    <n v="7.6"/>
    <s v="&gt; 5 ani"/>
    <n v="0"/>
  </r>
  <r>
    <x v="436"/>
    <s v="Moldovan"/>
    <s v="Andreea"/>
    <s v="F"/>
    <d v="1994-02-27T00:00:00"/>
    <d v="2019-01-25T00:00:00"/>
    <n v="70"/>
    <s v="Coordonator Logistică"/>
    <x v="1"/>
    <s v="Timișoara"/>
    <s v="Full-time"/>
    <n v="6400"/>
    <s v="Activ"/>
    <m/>
    <m/>
    <s v="andreea.moldovan177@technova.ro"/>
    <x v="1"/>
    <n v="31"/>
    <n v="6.9"/>
    <s v="&gt; 5 ani"/>
    <n v="0"/>
  </r>
  <r>
    <x v="437"/>
    <s v="Oprea"/>
    <s v="Bianca"/>
    <s v="F"/>
    <d v="1987-01-15T00:00:00"/>
    <d v="2022-02-24T00:00:00"/>
    <n v="60"/>
    <s v="Specialist Suport"/>
    <x v="2"/>
    <s v="Iași"/>
    <s v="Full-time"/>
    <n v="5800"/>
    <s v="Activ"/>
    <m/>
    <m/>
    <m/>
    <x v="0"/>
    <n v="38"/>
    <n v="3.8"/>
    <s v="3–5 ani"/>
    <n v="0"/>
  </r>
  <r>
    <x v="438"/>
    <s v="Surdu"/>
    <s v="Larisa"/>
    <s v="F"/>
    <d v="1994-06-21T00:00:00"/>
    <d v="2023-01-26T00:00:00"/>
    <n v="60"/>
    <s v="Specialist Suport"/>
    <x v="1"/>
    <s v="Iași"/>
    <s v="Full-time"/>
    <n v="4400"/>
    <s v="Activ"/>
    <m/>
    <m/>
    <s v="larisa.surdu380@technova.ro"/>
    <x v="0"/>
    <n v="31"/>
    <n v="2.9"/>
    <s v="1–3 ani"/>
    <n v="0"/>
  </r>
  <r>
    <x v="439"/>
    <s v="Marin"/>
    <s v="Ionuț"/>
    <s v="M"/>
    <d v="1980-11-02T00:00:00"/>
    <d v="2018-10-19T00:00:00"/>
    <n v="10"/>
    <s v="Analist IT"/>
    <x v="2"/>
    <s v="București"/>
    <s v="Full-time"/>
    <n v="12900"/>
    <s v="Activ"/>
    <m/>
    <m/>
    <s v="ionut.marin034@technova.ro"/>
    <x v="2"/>
    <n v="45"/>
    <n v="7.2"/>
    <s v="&gt; 5 ani"/>
    <n v="0"/>
  </r>
  <r>
    <x v="440"/>
    <s v="Stan"/>
    <s v="Cristian"/>
    <s v="M"/>
    <d v="1989-01-07T00:00:00"/>
    <d v="2019-03-06T00:00:00"/>
    <n v="20"/>
    <s v="Agent Vânzări"/>
    <x v="3"/>
    <s v="Timișoara"/>
    <s v="Full-time"/>
    <n v="3900"/>
    <s v="Activ"/>
    <m/>
    <m/>
    <s v="cristian.stan172@technova.ro"/>
    <x v="4"/>
    <n v="36"/>
    <n v="6.8"/>
    <s v="&gt; 5 ani"/>
    <n v="0"/>
  </r>
  <r>
    <x v="441"/>
    <s v="Florea"/>
    <s v="Mihaela"/>
    <s v="F"/>
    <d v="1988-06-05T00:00:00"/>
    <d v="2017-06-23T00:00:00"/>
    <n v="40"/>
    <s v="Recruiter"/>
    <x v="1"/>
    <s v="București"/>
    <s v="Full-time"/>
    <n v="5400"/>
    <s v="Activ"/>
    <m/>
    <m/>
    <s v="mihaela.florea008@technova.ro"/>
    <x v="6"/>
    <n v="37"/>
    <n v="8.5"/>
    <s v="&gt; 5 ani"/>
    <n v="0"/>
  </r>
  <r>
    <x v="442"/>
    <s v="Gheorghe"/>
    <s v="Mihai"/>
    <s v="M"/>
    <d v="1983-10-17T00:00:00"/>
    <d v="2022-04-27T00:00:00"/>
    <n v="10"/>
    <s v="DevOps Engineer"/>
    <x v="2"/>
    <s v="București"/>
    <s v="Full-time"/>
    <n v="12950"/>
    <s v="Activ"/>
    <m/>
    <m/>
    <s v="mihai.gheorghe319@technova.ro"/>
    <x v="2"/>
    <n v="42"/>
    <n v="3.7"/>
    <s v="3–5 ani"/>
    <n v="0"/>
  </r>
  <r>
    <x v="443"/>
    <s v="Florea"/>
    <s v="Adrian"/>
    <s v="M"/>
    <d v="1991-06-06T00:00:00"/>
    <d v="2023-03-16T00:00:00"/>
    <n v="10"/>
    <s v="DevOps Engineer"/>
    <x v="2"/>
    <s v="București"/>
    <s v="Full-time"/>
    <n v="13150"/>
    <s v="Activ"/>
    <m/>
    <m/>
    <s v="adrian.florea107@technova.ro"/>
    <x v="2"/>
    <n v="34"/>
    <n v="2.8"/>
    <s v="1–3 ani"/>
    <n v="0"/>
  </r>
  <r>
    <x v="444"/>
    <s v="Lungu"/>
    <s v="Larisa"/>
    <s v="F"/>
    <d v="1980-05-05T00:00:00"/>
    <d v="2022-08-27T00:00:00"/>
    <n v="20"/>
    <s v="Key Account Manager"/>
    <x v="1"/>
    <s v="Timișoara"/>
    <s v="Full-time"/>
    <n v="4500"/>
    <s v="Activ"/>
    <m/>
    <m/>
    <s v="larisa.lungu414@technova.ro"/>
    <x v="4"/>
    <n v="45"/>
    <n v="3.3"/>
    <s v="3–5 ani"/>
    <n v="0"/>
  </r>
  <r>
    <x v="445"/>
    <s v="Barbu"/>
    <s v="Larisa"/>
    <s v="F"/>
    <d v="1994-10-03T00:00:00"/>
    <d v="2018-07-10T00:00:00"/>
    <n v="40"/>
    <s v="Specialist HR"/>
    <x v="1"/>
    <s v="București"/>
    <s v="Full-time"/>
    <n v="5200"/>
    <s v="Activ"/>
    <m/>
    <m/>
    <s v="larisa.barbu098@technova.ro"/>
    <x v="6"/>
    <n v="31"/>
    <n v="7.5"/>
    <s v="&gt; 5 ani"/>
    <n v="0"/>
  </r>
  <r>
    <x v="446"/>
    <s v="Cozma"/>
    <s v="Raluca"/>
    <s v="F"/>
    <d v="1995-02-15T00:00:00"/>
    <d v="2017-10-29T00:00:00"/>
    <n v="10"/>
    <s v="Programator"/>
    <x v="3"/>
    <s v="Timișoara"/>
    <s v="Full-time"/>
    <n v="6300"/>
    <s v="Activ"/>
    <m/>
    <m/>
    <s v="raluca.cozma111@technova.ro"/>
    <x v="2"/>
    <n v="30"/>
    <n v="8.1999999999999993"/>
    <s v="&gt; 5 ani"/>
    <n v="0"/>
  </r>
  <r>
    <x v="447"/>
    <s v="Ionescu"/>
    <s v="Maria"/>
    <s v="F"/>
    <d v="1978-08-10T00:00:00"/>
    <d v="2025-06-08T00:00:00"/>
    <n v="70"/>
    <s v="Specialist Operațiuni"/>
    <x v="1"/>
    <s v="Timișoara"/>
    <s v="Full-time"/>
    <n v="4450"/>
    <s v="Activ"/>
    <m/>
    <m/>
    <s v="maria.ionescu361@technova.ro"/>
    <x v="1"/>
    <n v="47"/>
    <n v="0.6"/>
    <s v="&lt; 1 an"/>
    <n v="0"/>
  </r>
  <r>
    <x v="448"/>
    <s v="Popa"/>
    <s v="Andrei"/>
    <s v="M"/>
    <d v="1982-08-21T00:00:00"/>
    <d v="2016-11-10T00:00:00"/>
    <n v="20"/>
    <s v="Agent Vânzări"/>
    <x v="1"/>
    <s v="București"/>
    <s v="Full-time"/>
    <n v="5700"/>
    <s v="Activ"/>
    <m/>
    <m/>
    <s v="andrei.popa070@technova.ro"/>
    <x v="4"/>
    <n v="43"/>
    <n v="9.1"/>
    <s v="&gt; 5 ani"/>
    <n v="0"/>
  </r>
  <r>
    <x v="449"/>
    <s v="Ene"/>
    <s v="Cătălin"/>
    <s v="M"/>
    <d v="1996-12-10T00:00:00"/>
    <d v="2025-05-17T00:00:00"/>
    <n v="20"/>
    <s v="Key Account Manager"/>
    <x v="2"/>
    <s v="București"/>
    <s v="Full-time"/>
    <n v="9850"/>
    <s v="Plecat"/>
    <d v="2025-11-02T00:00:00"/>
    <s v="Relația cu managerul"/>
    <s v="catalin.ene347@technova.ro"/>
    <x v="4"/>
    <n v="29"/>
    <n v="0.5"/>
    <s v="&lt; 1 an"/>
    <n v="1"/>
  </r>
  <r>
    <x v="450"/>
    <s v="Dumitru"/>
    <s v="Cătălin"/>
    <s v="M"/>
    <d v="1991-10-20T00:00:00"/>
    <d v="2017-12-15T00:00:00"/>
    <n v="10"/>
    <s v="Programator"/>
    <x v="2"/>
    <s v="București"/>
    <s v="Full-time"/>
    <n v="13700"/>
    <s v="Plecat"/>
    <d v="2021-05-05T00:00:00"/>
    <s v="Echilibru viață-muncă"/>
    <s v="catalin.dumitru436@technova.ro"/>
    <x v="2"/>
    <n v="34"/>
    <n v="3.4"/>
    <s v="3–5 ani"/>
    <n v="1"/>
  </r>
  <r>
    <x v="451"/>
    <s v="Ionescu"/>
    <s v="Andreea"/>
    <s v="F"/>
    <d v="1998-05-28T00:00:00"/>
    <d v="2025-04-22T00:00:00"/>
    <n v="70"/>
    <s v="Specialist Operațiuni"/>
    <x v="3"/>
    <s v="Timișoara"/>
    <s v="Full-time"/>
    <n v="3600"/>
    <s v="Activ"/>
    <m/>
    <m/>
    <s v="andreea.ionescu130@technova.ro"/>
    <x v="1"/>
    <n v="27"/>
    <n v="0.7"/>
    <s v="&lt; 1 an"/>
    <n v="0"/>
  </r>
  <r>
    <x v="452"/>
    <s v="Surdu"/>
    <s v="Cătălin"/>
    <s v="M"/>
    <d v="1974-07-16T00:00:00"/>
    <d v="2020-06-12T00:00:00"/>
    <n v="60"/>
    <s v="Operator Call Center"/>
    <x v="2"/>
    <s v="Iași"/>
    <s v="Full-time"/>
    <n v="7050"/>
    <s v="Activ"/>
    <m/>
    <m/>
    <s v="catalin.surdu317@technova.ro"/>
    <x v="0"/>
    <n v="51"/>
    <n v="5.6"/>
    <s v="&gt; 5 ani"/>
    <n v="0"/>
  </r>
  <r>
    <x v="453"/>
    <s v="Toma"/>
    <s v="Robert"/>
    <s v="M"/>
    <d v="1993-11-26T00:00:00"/>
    <d v="2016-07-04T00:00:00"/>
    <n v="30"/>
    <s v="Content Creator"/>
    <x v="1"/>
    <s v="Cluj-Napoca"/>
    <s v="Full-time"/>
    <n v="6250"/>
    <s v="Activ"/>
    <m/>
    <m/>
    <s v="robert.toma448@technova.ro"/>
    <x v="3"/>
    <n v="32"/>
    <n v="9.5"/>
    <s v="&gt; 5 ani"/>
    <n v="0"/>
  </r>
  <r>
    <x v="454"/>
    <s v="Dumitru"/>
    <s v="Bogdan"/>
    <s v="M"/>
    <d v="1992-07-14T00:00:00"/>
    <d v="2017-11-21T00:00:00"/>
    <n v="20"/>
    <s v="Agent Vânzări"/>
    <x v="3"/>
    <s v="București"/>
    <s v="Full-time"/>
    <n v="4000"/>
    <s v="Activ"/>
    <m/>
    <m/>
    <s v="bogdan.dumitru259@technova.ro"/>
    <x v="4"/>
    <n v="33"/>
    <n v="8.1"/>
    <s v="&gt; 5 ani"/>
    <n v="0"/>
  </r>
  <r>
    <x v="455"/>
    <s v="Cozma"/>
    <s v="Irina"/>
    <s v="F"/>
    <d v="1990-06-02T00:00:00"/>
    <d v="2022-04-26T00:00:00"/>
    <n v="40"/>
    <s v="Recruiter"/>
    <x v="3"/>
    <s v="București"/>
    <s v="Part-time"/>
    <n v="3400"/>
    <s v="Activ"/>
    <m/>
    <m/>
    <s v="irina.cozma323@technova.ro"/>
    <x v="6"/>
    <n v="35"/>
    <n v="3.7"/>
    <s v="3–5 ani"/>
    <n v="0"/>
  </r>
  <r>
    <x v="456"/>
    <s v="Lungu"/>
    <s v="Marius"/>
    <s v="M"/>
    <d v="1973-04-06T00:00:00"/>
    <d v="2019-11-24T00:00:00"/>
    <n v="60"/>
    <s v="Operator Call Center"/>
    <x v="2"/>
    <s v="București"/>
    <s v="Full-time"/>
    <n v="6500"/>
    <s v="Activ"/>
    <m/>
    <m/>
    <s v="marius.lungu151@technova.ro"/>
    <x v="0"/>
    <n v="52"/>
    <n v="6.1"/>
    <s v="&gt; 5 ani"/>
    <n v="0"/>
  </r>
  <r>
    <x v="457"/>
    <s v="Neagu"/>
    <s v="Ionuț"/>
    <s v="M"/>
    <d v="1995-03-20T00:00:00"/>
    <d v="2019-11-04T00:00:00"/>
    <n v="70"/>
    <s v="Coordonator Logistică"/>
    <x v="1"/>
    <s v="Timișoara"/>
    <s v="Full-time"/>
    <n v="5100"/>
    <s v="Activ"/>
    <m/>
    <m/>
    <s v="ionut.neagu338@technova.ro"/>
    <x v="1"/>
    <n v="30"/>
    <n v="6.2"/>
    <s v="&gt; 5 ani"/>
    <n v="0"/>
  </r>
  <r>
    <x v="458"/>
    <s v="Florea"/>
    <s v="Cristina"/>
    <s v="F"/>
    <d v="1986-01-06T00:00:00"/>
    <d v="2017-09-17T00:00:00"/>
    <n v="60"/>
    <s v="Specialist Suport"/>
    <x v="3"/>
    <s v="București"/>
    <s v="Part-time"/>
    <n v="3050"/>
    <s v="Plecat"/>
    <d v="2022-03-01T00:00:00"/>
    <s v="Salariu mai bun în altă parte"/>
    <s v="cristina.florea027@technova.ro"/>
    <x v="0"/>
    <n v="39"/>
    <n v="4.5"/>
    <s v="3–5 ani"/>
    <n v="1"/>
  </r>
  <r>
    <x v="459"/>
    <s v="Ciobanu"/>
    <s v="Andrei"/>
    <s v="M"/>
    <d v="1992-11-07T00:00:00"/>
    <d v="2017-11-03T00:00:00"/>
    <n v="70"/>
    <s v="Coordonator Logistică"/>
    <x v="1"/>
    <s v="București"/>
    <s v="Full-time"/>
    <n v="6250"/>
    <s v="Activ"/>
    <m/>
    <m/>
    <s v="andrei.ciobanu399@technova.ro"/>
    <x v="1"/>
    <n v="33"/>
    <n v="8.1999999999999993"/>
    <s v="&gt; 5 ani"/>
    <n v="0"/>
  </r>
  <r>
    <x v="460"/>
    <s v="Stan"/>
    <s v="Bogdan"/>
    <s v="M"/>
    <d v="1990-10-20T00:00:00"/>
    <d v="2019-03-05T00:00:00"/>
    <n v="70"/>
    <s v="Coordonator Logistică"/>
    <x v="1"/>
    <s v="Timișoara"/>
    <s v="Full-time"/>
    <n v="5200"/>
    <s v="Activ"/>
    <m/>
    <m/>
    <s v="bogdan.stan424@technova.ro"/>
    <x v="1"/>
    <n v="35"/>
    <n v="6.8"/>
    <s v="&gt; 5 ani"/>
    <n v="0"/>
  </r>
  <r>
    <x v="461"/>
    <s v="Tudor"/>
    <s v="Roxana"/>
    <s v="F"/>
    <d v="1991-06-24T00:00:00"/>
    <d v="2016-07-05T00:00:00"/>
    <n v="10"/>
    <s v="Analist IT"/>
    <x v="3"/>
    <s v="Iași"/>
    <s v="Full-time"/>
    <n v="6000"/>
    <s v="Activ"/>
    <m/>
    <m/>
    <s v="roxana.tudor094@technova.ro"/>
    <x v="2"/>
    <n v="34"/>
    <n v="9.5"/>
    <s v="&gt; 5 ani"/>
    <n v="0"/>
  </r>
  <r>
    <x v="462"/>
    <s v="Neagu"/>
    <s v="Diana"/>
    <s v="F"/>
    <d v="1977-10-28T00:00:00"/>
    <d v="2024-05-11T00:00:00"/>
    <n v="30"/>
    <s v="Specialist Marketing"/>
    <x v="1"/>
    <s v="Cluj-Napoca"/>
    <s v="Full-time"/>
    <n v="5250"/>
    <s v="Activ"/>
    <m/>
    <m/>
    <s v="diana.neagu429@technova.ro"/>
    <x v="3"/>
    <n v="48"/>
    <n v="1.6"/>
    <s v="1–3 ani"/>
    <n v="0"/>
  </r>
  <r>
    <x v="463"/>
    <s v="Dumitru"/>
    <s v="Mihai"/>
    <s v="M"/>
    <d v="1997-02-27T00:00:00"/>
    <d v="2025-06-15T00:00:00"/>
    <n v="10"/>
    <s v="Analist IT"/>
    <x v="1"/>
    <s v="București"/>
    <s v="Part-time"/>
    <n v="8600"/>
    <s v="Activ"/>
    <m/>
    <m/>
    <s v="mihai.dumitru149@technova.ro"/>
    <x v="2"/>
    <n v="28"/>
    <n v="0.5"/>
    <s v="&lt; 1 an"/>
    <n v="0"/>
  </r>
  <r>
    <x v="464"/>
    <s v="Ionescu"/>
    <s v="Andrei"/>
    <s v="M"/>
    <d v="1996-05-16T00:00:00"/>
    <d v="2020-10-20T00:00:00"/>
    <n v="20"/>
    <s v="Key Account Manager"/>
    <x v="3"/>
    <s v="București"/>
    <s v="Full-time"/>
    <n v="3450"/>
    <s v="Plecat"/>
    <d v="2022-10-24T00:00:00"/>
    <s v="Salariu mai bun în altă parte"/>
    <s v="andrei.ionescu423@technova.ro"/>
    <x v="4"/>
    <n v="29"/>
    <n v="2"/>
    <s v="1–3 ani"/>
    <n v="1"/>
  </r>
  <r>
    <x v="465"/>
    <s v="Dobre"/>
    <s v="Cătălin"/>
    <s v="M"/>
    <d v="1999-09-17T00:00:00"/>
    <d v="2025-06-07T00:00:00"/>
    <n v="40"/>
    <s v="Recruiter"/>
    <x v="1"/>
    <s v="București"/>
    <s v="Full-time"/>
    <n v="6650"/>
    <s v="Activ"/>
    <m/>
    <m/>
    <s v="catalin.dobre120@technova.ro"/>
    <x v="6"/>
    <n v="26"/>
    <n v="0.6"/>
    <s v="&lt; 1 an"/>
    <n v="0"/>
  </r>
  <r>
    <x v="466"/>
    <s v="Dumitru"/>
    <s v="Oana"/>
    <s v="F"/>
    <d v="1995-08-15T00:00:00"/>
    <d v="2017-12-18T00:00:00"/>
    <n v="60"/>
    <s v="Operator Call Center"/>
    <x v="1"/>
    <s v="București"/>
    <s v="Full-time"/>
    <n v="3500"/>
    <s v="Activ"/>
    <m/>
    <m/>
    <s v="oana.dumitru406@technova.ro"/>
    <x v="0"/>
    <n v="30"/>
    <n v="8"/>
    <s v="&gt; 5 ani"/>
    <n v="0"/>
  </r>
  <r>
    <x v="467"/>
    <s v="Marin"/>
    <s v="Ana"/>
    <s v="F"/>
    <d v="1985-03-10T00:00:00"/>
    <d v="2018-06-02T00:00:00"/>
    <n v="70"/>
    <s v="Coordonator Logistică"/>
    <x v="3"/>
    <s v="Iași"/>
    <s v="Full-time"/>
    <n v="3900"/>
    <s v="Activ"/>
    <m/>
    <m/>
    <s v="ana.marin139@technova.ro"/>
    <x v="1"/>
    <n v="40"/>
    <n v="7.6"/>
    <s v="&gt; 5 ani"/>
    <n v="0"/>
  </r>
  <r>
    <x v="468"/>
    <s v="Surdu"/>
    <s v="Ioana"/>
    <s v="F"/>
    <d v="1997-09-12T00:00:00"/>
    <d v="2025-01-29T00:00:00"/>
    <n v="70"/>
    <s v="Coordonator Logistică"/>
    <x v="1"/>
    <s v="Timișoara"/>
    <s v="Full-time"/>
    <n v="4300"/>
    <s v="Activ"/>
    <m/>
    <m/>
    <s v="ioana.surdu170@technova.ro"/>
    <x v="1"/>
    <n v="28"/>
    <n v="0.9"/>
    <s v="&lt; 1 an"/>
    <n v="0"/>
  </r>
  <r>
    <x v="469"/>
    <s v="Matei"/>
    <s v="Andreea"/>
    <s v="F"/>
    <d v="1997-10-15T00:00:00"/>
    <d v="2023-06-01T00:00:00"/>
    <n v="60"/>
    <s v="Specialist Suport"/>
    <x v="3"/>
    <s v="Timișoara"/>
    <s v="Full-time"/>
    <n v="2750"/>
    <s v="Activ"/>
    <m/>
    <m/>
    <s v="andreea.matei364@technova.ro"/>
    <x v="0"/>
    <n v="28"/>
    <n v="2.6"/>
    <s v="1–3 ani"/>
    <n v="0"/>
  </r>
  <r>
    <x v="470"/>
    <s v="Dobre"/>
    <s v="Oana"/>
    <s v="F"/>
    <d v="1993-08-20T00:00:00"/>
    <d v="2017-12-01T00:00:00"/>
    <n v="70"/>
    <s v="Coordonator Logistică"/>
    <x v="1"/>
    <s v="București"/>
    <s v="Full-time"/>
    <n v="5450"/>
    <s v="Activ"/>
    <m/>
    <m/>
    <s v="oana.dobre203@technova.ro"/>
    <x v="1"/>
    <n v="32"/>
    <n v="8.1"/>
    <s v="&gt; 5 ani"/>
    <n v="0"/>
  </r>
  <r>
    <x v="471"/>
    <s v="Ene"/>
    <s v="Radu"/>
    <s v="M"/>
    <d v="1976-12-15T00:00:00"/>
    <d v="2020-10-13T00:00:00"/>
    <n v="70"/>
    <s v="Specialist Operațiuni"/>
    <x v="1"/>
    <s v="Timișoara"/>
    <s v="Full-time"/>
    <n v="5350"/>
    <s v="Activ"/>
    <m/>
    <m/>
    <s v="radu.ene148@technova.ro"/>
    <x v="1"/>
    <n v="49"/>
    <n v="5.2"/>
    <s v="&gt; 5 ani"/>
    <n v="0"/>
  </r>
  <r>
    <x v="472"/>
    <s v="Preda"/>
    <s v="Bogdan"/>
    <s v="M"/>
    <d v="1992-02-10T00:00:00"/>
    <d v="2022-05-21T00:00:00"/>
    <n v="20"/>
    <s v="Key Account Manager"/>
    <x v="1"/>
    <s v="Timișoara"/>
    <s v="Full-time"/>
    <n v="5000"/>
    <s v="Activ"/>
    <m/>
    <m/>
    <s v="bogdan.preda278@technova.ro"/>
    <x v="4"/>
    <n v="33"/>
    <n v="3.6"/>
    <s v="3–5 ani"/>
    <n v="0"/>
  </r>
  <r>
    <x v="473"/>
    <s v="Toma"/>
    <s v="George"/>
    <s v="M"/>
    <d v="1991-01-23T00:00:00"/>
    <d v="2016-12-06T00:00:00"/>
    <n v="60"/>
    <s v="Specialist Suport"/>
    <x v="3"/>
    <s v="Iași"/>
    <s v="Full-time"/>
    <n v="3350"/>
    <s v="Activ"/>
    <m/>
    <m/>
    <m/>
    <x v="0"/>
    <n v="34"/>
    <n v="9.1"/>
    <s v="&gt; 5 ani"/>
    <n v="0"/>
  </r>
  <r>
    <x v="474"/>
    <s v="Constantin"/>
    <s v="Florin"/>
    <s v="M"/>
    <d v="1996-12-12T00:00:00"/>
    <d v="2023-01-11T00:00:00"/>
    <n v="20"/>
    <s v="Agent Vânzări"/>
    <x v="1"/>
    <s v="București"/>
    <s v="Full-time"/>
    <n v="4300"/>
    <s v="Plecat"/>
    <d v="2023-10-08T00:00:00"/>
    <s v="Lipsa oportunităților de promovare"/>
    <s v="florin.constantin457@technova.ro"/>
    <x v="4"/>
    <n v="29"/>
    <n v="0.7"/>
    <s v="&lt; 1 an"/>
    <n v="1"/>
  </r>
  <r>
    <x v="475"/>
    <s v="Rusu"/>
    <s v="Cătălin"/>
    <s v="M"/>
    <d v="1993-10-01T00:00:00"/>
    <d v="2017-04-02T00:00:00"/>
    <n v="10"/>
    <s v="Analist IT"/>
    <x v="2"/>
    <s v="București"/>
    <s v="Full-time"/>
    <n v="10550"/>
    <s v="Activ"/>
    <m/>
    <m/>
    <s v="catalin.rusu441@technova.ro"/>
    <x v="2"/>
    <n v="32"/>
    <n v="8.6999999999999993"/>
    <s v="&gt; 5 ani"/>
    <n v="0"/>
  </r>
  <r>
    <x v="476"/>
    <s v="Gheorghe"/>
    <s v="Raluca"/>
    <s v="F"/>
    <d v="1994-07-12T00:00:00"/>
    <d v="2017-09-03T00:00:00"/>
    <n v="20"/>
    <s v="Agent Vânzări"/>
    <x v="3"/>
    <s v="Cluj-Napoca"/>
    <s v="Full-time"/>
    <n v="3200"/>
    <s v="Plecat"/>
    <d v="2019-11-19T00:00:00"/>
    <s v="Nespecificat"/>
    <s v="raluca.gheorghe132@technova.ro"/>
    <x v="4"/>
    <n v="31"/>
    <n v="2.2000000000000002"/>
    <s v="1–3 ani"/>
    <n v="1"/>
  </r>
  <r>
    <x v="477"/>
    <s v="Moldovan"/>
    <s v="Ionuț"/>
    <s v="M"/>
    <d v="1997-03-04T00:00:00"/>
    <d v="2018-04-25T00:00:00"/>
    <n v="60"/>
    <s v="Specialist Suport"/>
    <x v="3"/>
    <s v="Iași"/>
    <s v="Part-time"/>
    <n v="2850"/>
    <s v="Activ"/>
    <m/>
    <m/>
    <s v="ionut.moldovan250@technova.ro"/>
    <x v="0"/>
    <n v="28"/>
    <n v="7.7"/>
    <s v="&gt; 5 ani"/>
    <n v="0"/>
  </r>
  <r>
    <x v="478"/>
    <s v="Ionescu"/>
    <s v="Florin"/>
    <s v="M"/>
    <d v="1972-07-05T00:00:00"/>
    <d v="2018-03-17T00:00:00"/>
    <n v="30"/>
    <s v="Content Creator"/>
    <x v="2"/>
    <s v="Cluj-Napoca"/>
    <s v="Full-time"/>
    <n v="9300"/>
    <s v="Plecat"/>
    <d v="2018-08-12T00:00:00"/>
    <s v="Relația cu managerul"/>
    <s v="florin.ionescu153@technova.ro"/>
    <x v="3"/>
    <n v="53"/>
    <n v="0.4"/>
    <s v="&lt; 1 an"/>
    <n v="1"/>
  </r>
  <r>
    <x v="479"/>
    <s v="Constantin"/>
    <s v="George"/>
    <s v="M"/>
    <d v="1978-03-19T00:00:00"/>
    <d v="2022-05-06T00:00:00"/>
    <n v="40"/>
    <s v="Recruiter"/>
    <x v="1"/>
    <s v="București"/>
    <s v="Full-time"/>
    <n v="4500"/>
    <s v="Activ"/>
    <m/>
    <m/>
    <s v="george.constantin363@technova.ro"/>
    <x v="6"/>
    <n v="47"/>
    <n v="3.7"/>
    <s v="3–5 ani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B7086-07C7-45D5-B1C7-2D093FDE62A4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7:F27" firstHeaderRow="1" firstDataRow="2" firstDataCol="1"/>
  <pivotFields count="21">
    <pivotField compact="0" outline="0" showAll="0">
      <items count="481">
        <item x="425"/>
        <item x="414"/>
        <item x="395"/>
        <item x="238"/>
        <item x="216"/>
        <item x="183"/>
        <item x="228"/>
        <item x="441"/>
        <item x="343"/>
        <item x="377"/>
        <item x="105"/>
        <item x="191"/>
        <item x="289"/>
        <item x="303"/>
        <item x="54"/>
        <item x="71"/>
        <item x="53"/>
        <item x="304"/>
        <item x="248"/>
        <item x="338"/>
        <item x="434"/>
        <item x="236"/>
        <item x="351"/>
        <item x="173"/>
        <item x="115"/>
        <item x="196"/>
        <item x="458"/>
        <item x="17"/>
        <item x="428"/>
        <item x="269"/>
        <item x="190"/>
        <item x="122"/>
        <item x="349"/>
        <item x="439"/>
        <item x="282"/>
        <item x="360"/>
        <item x="393"/>
        <item x="5"/>
        <item x="180"/>
        <item x="313"/>
        <item x="55"/>
        <item x="260"/>
        <item x="215"/>
        <item x="60"/>
        <item x="366"/>
        <item x="201"/>
        <item x="187"/>
        <item x="186"/>
        <item x="385"/>
        <item x="432"/>
        <item x="179"/>
        <item x="57"/>
        <item x="357"/>
        <item x="160"/>
        <item x="426"/>
        <item x="106"/>
        <item x="109"/>
        <item x="24"/>
        <item x="213"/>
        <item x="103"/>
        <item x="334"/>
        <item x="99"/>
        <item x="352"/>
        <item x="300"/>
        <item x="247"/>
        <item x="199"/>
        <item x="66"/>
        <item x="76"/>
        <item x="207"/>
        <item x="448"/>
        <item x="188"/>
        <item x="325"/>
        <item x="284"/>
        <item x="1"/>
        <item x="168"/>
        <item x="184"/>
        <item x="369"/>
        <item x="209"/>
        <item x="242"/>
        <item x="189"/>
        <item x="0"/>
        <item x="8"/>
        <item x="158"/>
        <item x="96"/>
        <item x="162"/>
        <item x="278"/>
        <item x="314"/>
        <item x="38"/>
        <item x="113"/>
        <item x="280"/>
        <item x="309"/>
        <item x="386"/>
        <item x="347"/>
        <item x="461"/>
        <item x="276"/>
        <item x="302"/>
        <item x="297"/>
        <item x="445"/>
        <item x="141"/>
        <item x="86"/>
        <item x="337"/>
        <item x="73"/>
        <item x="83"/>
        <item x="28"/>
        <item x="382"/>
        <item x="7"/>
        <item x="443"/>
        <item x="82"/>
        <item x="153"/>
        <item x="223"/>
        <item x="446"/>
        <item x="116"/>
        <item x="56"/>
        <item x="415"/>
        <item x="117"/>
        <item x="195"/>
        <item x="39"/>
        <item x="412"/>
        <item x="224"/>
        <item x="465"/>
        <item x="364"/>
        <item x="217"/>
        <item x="241"/>
        <item x="137"/>
        <item x="26"/>
        <item x="214"/>
        <item x="47"/>
        <item x="45"/>
        <item x="135"/>
        <item x="451"/>
        <item x="74"/>
        <item x="476"/>
        <item x="12"/>
        <item x="333"/>
        <item x="2"/>
        <item x="350"/>
        <item x="14"/>
        <item x="44"/>
        <item x="467"/>
        <item x="72"/>
        <item x="219"/>
        <item x="398"/>
        <item x="185"/>
        <item x="256"/>
        <item x="4"/>
        <item x="317"/>
        <item x="84"/>
        <item x="471"/>
        <item x="463"/>
        <item x="273"/>
        <item x="456"/>
        <item x="250"/>
        <item x="478"/>
        <item x="43"/>
        <item x="175"/>
        <item x="29"/>
        <item x="394"/>
        <item x="144"/>
        <item x="318"/>
        <item x="32"/>
        <item x="405"/>
        <item x="48"/>
        <item x="272"/>
        <item x="252"/>
        <item x="128"/>
        <item x="421"/>
        <item x="6"/>
        <item x="362"/>
        <item x="218"/>
        <item x="468"/>
        <item x="126"/>
        <item x="440"/>
        <item x="390"/>
        <item x="359"/>
        <item x="417"/>
        <item x="130"/>
        <item x="436"/>
        <item x="88"/>
        <item x="361"/>
        <item x="80"/>
        <item x="127"/>
        <item x="315"/>
        <item x="387"/>
        <item x="401"/>
        <item x="420"/>
        <item x="104"/>
        <item x="145"/>
        <item x="279"/>
        <item x="10"/>
        <item x="91"/>
        <item x="21"/>
        <item x="124"/>
        <item x="424"/>
        <item x="65"/>
        <item x="118"/>
        <item x="197"/>
        <item x="46"/>
        <item x="112"/>
        <item x="290"/>
        <item x="259"/>
        <item x="323"/>
        <item x="167"/>
        <item x="470"/>
        <item x="77"/>
        <item x="67"/>
        <item x="225"/>
        <item x="429"/>
        <item x="308"/>
        <item x="370"/>
        <item x="146"/>
        <item x="58"/>
        <item x="240"/>
        <item x="372"/>
        <item x="291"/>
        <item x="49"/>
        <item x="354"/>
        <item x="375"/>
        <item x="283"/>
        <item x="245"/>
        <item x="408"/>
        <item x="285"/>
        <item x="277"/>
        <item x="301"/>
        <item x="399"/>
        <item x="11"/>
        <item x="33"/>
        <item x="363"/>
        <item x="129"/>
        <item x="37"/>
        <item x="50"/>
        <item x="220"/>
        <item x="263"/>
        <item x="391"/>
        <item x="140"/>
        <item x="293"/>
        <item x="410"/>
        <item x="178"/>
        <item x="232"/>
        <item x="270"/>
        <item x="142"/>
        <item x="159"/>
        <item x="161"/>
        <item x="396"/>
        <item x="64"/>
        <item x="155"/>
        <item x="264"/>
        <item x="306"/>
        <item x="234"/>
        <item x="132"/>
        <item x="477"/>
        <item x="271"/>
        <item x="204"/>
        <item x="348"/>
        <item x="418"/>
        <item x="230"/>
        <item x="89"/>
        <item x="473"/>
        <item x="356"/>
        <item x="454"/>
        <item x="239"/>
        <item x="30"/>
        <item x="114"/>
        <item x="131"/>
        <item x="268"/>
        <item x="341"/>
        <item x="246"/>
        <item x="13"/>
        <item x="373"/>
        <item x="134"/>
        <item x="68"/>
        <item x="194"/>
        <item x="156"/>
        <item x="171"/>
        <item x="18"/>
        <item x="423"/>
        <item x="365"/>
        <item x="342"/>
        <item x="472"/>
        <item x="181"/>
        <item x="212"/>
        <item x="251"/>
        <item x="9"/>
        <item x="261"/>
        <item x="345"/>
        <item x="90"/>
        <item x="380"/>
        <item x="62"/>
        <item x="143"/>
        <item x="139"/>
        <item x="200"/>
        <item x="61"/>
        <item x="148"/>
        <item x="324"/>
        <item x="435"/>
        <item x="210"/>
        <item x="381"/>
        <item x="85"/>
        <item x="299"/>
        <item x="286"/>
        <item x="25"/>
        <item x="367"/>
        <item x="81"/>
        <item x="226"/>
        <item x="149"/>
        <item x="95"/>
        <item x="70"/>
        <item x="227"/>
        <item x="310"/>
        <item x="397"/>
        <item x="344"/>
        <item x="298"/>
        <item x="374"/>
        <item x="383"/>
        <item x="93"/>
        <item x="281"/>
        <item x="388"/>
        <item x="452"/>
        <item x="27"/>
        <item x="442"/>
        <item x="255"/>
        <item x="222"/>
        <item x="22"/>
        <item x="455"/>
        <item x="311"/>
        <item x="368"/>
        <item x="266"/>
        <item x="262"/>
        <item x="138"/>
        <item x="63"/>
        <item x="253"/>
        <item x="120"/>
        <item x="402"/>
        <item x="19"/>
        <item x="123"/>
        <item x="52"/>
        <item x="437"/>
        <item x="406"/>
        <item x="457"/>
        <item x="36"/>
        <item x="176"/>
        <item x="100"/>
        <item x="413"/>
        <item x="249"/>
        <item x="322"/>
        <item x="20"/>
        <item x="147"/>
        <item x="449"/>
        <item x="111"/>
        <item x="150"/>
        <item x="192"/>
        <item x="433"/>
        <item x="51"/>
        <item x="400"/>
        <item x="312"/>
        <item x="229"/>
        <item x="305"/>
        <item x="328"/>
        <item x="98"/>
        <item x="75"/>
        <item x="320"/>
        <item x="447"/>
        <item x="108"/>
        <item x="479"/>
        <item x="469"/>
        <item x="15"/>
        <item x="254"/>
        <item x="208"/>
        <item x="275"/>
        <item x="371"/>
        <item x="335"/>
        <item x="265"/>
        <item x="274"/>
        <item x="422"/>
        <item x="177"/>
        <item x="326"/>
        <item x="427"/>
        <item x="92"/>
        <item x="339"/>
        <item x="31"/>
        <item x="438"/>
        <item x="409"/>
        <item x="307"/>
        <item x="172"/>
        <item x="430"/>
        <item x="94"/>
        <item x="329"/>
        <item x="157"/>
        <item x="243"/>
        <item x="35"/>
        <item x="235"/>
        <item x="119"/>
        <item x="198"/>
        <item x="203"/>
        <item x="42"/>
        <item x="121"/>
        <item x="97"/>
        <item x="165"/>
        <item x="378"/>
        <item x="459"/>
        <item x="202"/>
        <item x="407"/>
        <item x="170"/>
        <item x="23"/>
        <item x="355"/>
        <item x="358"/>
        <item x="466"/>
        <item x="257"/>
        <item x="41"/>
        <item x="327"/>
        <item x="174"/>
        <item x="233"/>
        <item x="294"/>
        <item x="258"/>
        <item x="444"/>
        <item x="231"/>
        <item x="379"/>
        <item x="101"/>
        <item x="404"/>
        <item x="151"/>
        <item x="166"/>
        <item x="332"/>
        <item x="154"/>
        <item x="464"/>
        <item x="460"/>
        <item x="295"/>
        <item x="163"/>
        <item x="384"/>
        <item x="376"/>
        <item x="462"/>
        <item x="221"/>
        <item x="237"/>
        <item x="292"/>
        <item x="419"/>
        <item x="125"/>
        <item x="403"/>
        <item x="450"/>
        <item x="211"/>
        <item x="133"/>
        <item x="411"/>
        <item x="69"/>
        <item x="475"/>
        <item x="296"/>
        <item x="267"/>
        <item x="152"/>
        <item x="87"/>
        <item x="107"/>
        <item x="59"/>
        <item x="453"/>
        <item x="316"/>
        <item x="287"/>
        <item x="416"/>
        <item x="78"/>
        <item x="169"/>
        <item x="79"/>
        <item x="340"/>
        <item x="331"/>
        <item x="474"/>
        <item x="136"/>
        <item x="288"/>
        <item x="321"/>
        <item x="205"/>
        <item x="392"/>
        <item x="40"/>
        <item x="34"/>
        <item x="346"/>
        <item x="389"/>
        <item x="102"/>
        <item x="244"/>
        <item x="193"/>
        <item x="330"/>
        <item x="336"/>
        <item x="319"/>
        <item x="3"/>
        <item x="206"/>
        <item x="16"/>
        <item x="353"/>
        <item x="110"/>
        <item x="182"/>
        <item x="431"/>
        <item x="164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5"/>
        <item x="2"/>
        <item x="7"/>
        <item x="3"/>
        <item x="1"/>
        <item x="6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alariu_brut_lunar" fld="11" subtotal="average" baseField="16" baseItem="0" numFmtId="164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dataOnly="0" labelOnly="1" outline="0" axis="axisValues" fieldPosition="0"/>
    </format>
    <format dxfId="5">
      <pivotArea field="8" type="button" dataOnly="0" labelOnly="1" outline="0" axis="axisCol" fieldPosition="0"/>
    </format>
    <format dxfId="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3505F-52A2-4F2E-9297-F77643E4C7F3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4:F14" firstHeaderRow="1" firstDataRow="2" firstDataCol="1"/>
  <pivotFields count="21">
    <pivotField dataField="1" compact="0" outline="0" showAll="0">
      <items count="481">
        <item x="425"/>
        <item x="414"/>
        <item x="395"/>
        <item x="238"/>
        <item x="216"/>
        <item x="183"/>
        <item x="228"/>
        <item x="441"/>
        <item x="343"/>
        <item x="377"/>
        <item x="105"/>
        <item x="191"/>
        <item x="289"/>
        <item x="303"/>
        <item x="54"/>
        <item x="71"/>
        <item x="53"/>
        <item x="304"/>
        <item x="248"/>
        <item x="338"/>
        <item x="434"/>
        <item x="236"/>
        <item x="351"/>
        <item x="173"/>
        <item x="115"/>
        <item x="196"/>
        <item x="458"/>
        <item x="17"/>
        <item x="428"/>
        <item x="269"/>
        <item x="190"/>
        <item x="122"/>
        <item x="349"/>
        <item x="439"/>
        <item x="282"/>
        <item x="360"/>
        <item x="393"/>
        <item x="5"/>
        <item x="180"/>
        <item x="313"/>
        <item x="55"/>
        <item x="260"/>
        <item x="215"/>
        <item x="60"/>
        <item x="366"/>
        <item x="201"/>
        <item x="187"/>
        <item x="186"/>
        <item x="385"/>
        <item x="432"/>
        <item x="179"/>
        <item x="57"/>
        <item x="357"/>
        <item x="160"/>
        <item x="426"/>
        <item x="106"/>
        <item x="109"/>
        <item x="24"/>
        <item x="213"/>
        <item x="103"/>
        <item x="334"/>
        <item x="99"/>
        <item x="352"/>
        <item x="300"/>
        <item x="247"/>
        <item x="199"/>
        <item x="66"/>
        <item x="76"/>
        <item x="207"/>
        <item x="448"/>
        <item x="188"/>
        <item x="325"/>
        <item x="284"/>
        <item x="1"/>
        <item x="168"/>
        <item x="184"/>
        <item x="369"/>
        <item x="209"/>
        <item x="242"/>
        <item x="189"/>
        <item x="0"/>
        <item x="8"/>
        <item x="158"/>
        <item x="96"/>
        <item x="162"/>
        <item x="278"/>
        <item x="314"/>
        <item x="38"/>
        <item x="113"/>
        <item x="280"/>
        <item x="309"/>
        <item x="386"/>
        <item x="347"/>
        <item x="461"/>
        <item x="276"/>
        <item x="302"/>
        <item x="297"/>
        <item x="445"/>
        <item x="141"/>
        <item x="86"/>
        <item x="337"/>
        <item x="73"/>
        <item x="83"/>
        <item x="28"/>
        <item x="382"/>
        <item x="7"/>
        <item x="443"/>
        <item x="82"/>
        <item x="153"/>
        <item x="223"/>
        <item x="446"/>
        <item x="116"/>
        <item x="56"/>
        <item x="415"/>
        <item x="117"/>
        <item x="195"/>
        <item x="39"/>
        <item x="412"/>
        <item x="224"/>
        <item x="465"/>
        <item x="364"/>
        <item x="217"/>
        <item x="241"/>
        <item x="137"/>
        <item x="26"/>
        <item x="214"/>
        <item x="47"/>
        <item x="45"/>
        <item x="135"/>
        <item x="451"/>
        <item x="74"/>
        <item x="476"/>
        <item x="12"/>
        <item x="333"/>
        <item x="2"/>
        <item x="350"/>
        <item x="14"/>
        <item x="44"/>
        <item x="467"/>
        <item x="72"/>
        <item x="219"/>
        <item x="398"/>
        <item x="185"/>
        <item x="256"/>
        <item x="4"/>
        <item x="317"/>
        <item x="84"/>
        <item x="471"/>
        <item x="463"/>
        <item x="273"/>
        <item x="456"/>
        <item x="250"/>
        <item x="478"/>
        <item x="43"/>
        <item x="175"/>
        <item x="29"/>
        <item x="394"/>
        <item x="144"/>
        <item x="318"/>
        <item x="32"/>
        <item x="405"/>
        <item x="48"/>
        <item x="272"/>
        <item x="252"/>
        <item x="128"/>
        <item x="421"/>
        <item x="6"/>
        <item x="362"/>
        <item x="218"/>
        <item x="468"/>
        <item x="126"/>
        <item x="440"/>
        <item x="390"/>
        <item x="359"/>
        <item x="417"/>
        <item x="130"/>
        <item x="436"/>
        <item x="88"/>
        <item x="361"/>
        <item x="80"/>
        <item x="127"/>
        <item x="315"/>
        <item x="387"/>
        <item x="401"/>
        <item x="420"/>
        <item x="104"/>
        <item x="145"/>
        <item x="279"/>
        <item x="10"/>
        <item x="91"/>
        <item x="21"/>
        <item x="124"/>
        <item x="424"/>
        <item x="65"/>
        <item x="118"/>
        <item x="197"/>
        <item x="46"/>
        <item x="112"/>
        <item x="290"/>
        <item x="259"/>
        <item x="323"/>
        <item x="167"/>
        <item x="470"/>
        <item x="77"/>
        <item x="67"/>
        <item x="225"/>
        <item x="429"/>
        <item x="308"/>
        <item x="370"/>
        <item x="146"/>
        <item x="58"/>
        <item x="240"/>
        <item x="372"/>
        <item x="291"/>
        <item x="49"/>
        <item x="354"/>
        <item x="375"/>
        <item x="283"/>
        <item x="245"/>
        <item x="408"/>
        <item x="285"/>
        <item x="277"/>
        <item x="301"/>
        <item x="399"/>
        <item x="11"/>
        <item x="33"/>
        <item x="363"/>
        <item x="129"/>
        <item x="37"/>
        <item x="50"/>
        <item x="220"/>
        <item x="263"/>
        <item x="391"/>
        <item x="140"/>
        <item x="293"/>
        <item x="410"/>
        <item x="178"/>
        <item x="232"/>
        <item x="270"/>
        <item x="142"/>
        <item x="159"/>
        <item x="161"/>
        <item x="396"/>
        <item x="64"/>
        <item x="155"/>
        <item x="264"/>
        <item x="306"/>
        <item x="234"/>
        <item x="132"/>
        <item x="477"/>
        <item x="271"/>
        <item x="204"/>
        <item x="348"/>
        <item x="418"/>
        <item x="230"/>
        <item x="89"/>
        <item x="473"/>
        <item x="356"/>
        <item x="454"/>
        <item x="239"/>
        <item x="30"/>
        <item x="114"/>
        <item x="131"/>
        <item x="268"/>
        <item x="341"/>
        <item x="246"/>
        <item x="13"/>
        <item x="373"/>
        <item x="134"/>
        <item x="68"/>
        <item x="194"/>
        <item x="156"/>
        <item x="171"/>
        <item x="18"/>
        <item x="423"/>
        <item x="365"/>
        <item x="342"/>
        <item x="472"/>
        <item x="181"/>
        <item x="212"/>
        <item x="251"/>
        <item x="9"/>
        <item x="261"/>
        <item x="345"/>
        <item x="90"/>
        <item x="380"/>
        <item x="62"/>
        <item x="143"/>
        <item x="139"/>
        <item x="200"/>
        <item x="61"/>
        <item x="148"/>
        <item x="324"/>
        <item x="435"/>
        <item x="210"/>
        <item x="381"/>
        <item x="85"/>
        <item x="299"/>
        <item x="286"/>
        <item x="25"/>
        <item x="367"/>
        <item x="81"/>
        <item x="226"/>
        <item x="149"/>
        <item x="95"/>
        <item x="70"/>
        <item x="227"/>
        <item x="310"/>
        <item x="397"/>
        <item x="344"/>
        <item x="298"/>
        <item x="374"/>
        <item x="383"/>
        <item x="93"/>
        <item x="281"/>
        <item x="388"/>
        <item x="452"/>
        <item x="27"/>
        <item x="442"/>
        <item x="255"/>
        <item x="222"/>
        <item x="22"/>
        <item x="455"/>
        <item x="311"/>
        <item x="368"/>
        <item x="266"/>
        <item x="262"/>
        <item x="138"/>
        <item x="63"/>
        <item x="253"/>
        <item x="120"/>
        <item x="402"/>
        <item x="19"/>
        <item x="123"/>
        <item x="52"/>
        <item x="437"/>
        <item x="406"/>
        <item x="457"/>
        <item x="36"/>
        <item x="176"/>
        <item x="100"/>
        <item x="413"/>
        <item x="249"/>
        <item x="322"/>
        <item x="20"/>
        <item x="147"/>
        <item x="449"/>
        <item x="111"/>
        <item x="150"/>
        <item x="192"/>
        <item x="433"/>
        <item x="51"/>
        <item x="400"/>
        <item x="312"/>
        <item x="229"/>
        <item x="305"/>
        <item x="328"/>
        <item x="98"/>
        <item x="75"/>
        <item x="320"/>
        <item x="447"/>
        <item x="108"/>
        <item x="479"/>
        <item x="469"/>
        <item x="15"/>
        <item x="254"/>
        <item x="208"/>
        <item x="275"/>
        <item x="371"/>
        <item x="335"/>
        <item x="265"/>
        <item x="274"/>
        <item x="422"/>
        <item x="177"/>
        <item x="326"/>
        <item x="427"/>
        <item x="92"/>
        <item x="339"/>
        <item x="31"/>
        <item x="438"/>
        <item x="409"/>
        <item x="307"/>
        <item x="172"/>
        <item x="430"/>
        <item x="94"/>
        <item x="329"/>
        <item x="157"/>
        <item x="243"/>
        <item x="35"/>
        <item x="235"/>
        <item x="119"/>
        <item x="198"/>
        <item x="203"/>
        <item x="42"/>
        <item x="121"/>
        <item x="97"/>
        <item x="165"/>
        <item x="378"/>
        <item x="459"/>
        <item x="202"/>
        <item x="407"/>
        <item x="170"/>
        <item x="23"/>
        <item x="355"/>
        <item x="358"/>
        <item x="466"/>
        <item x="257"/>
        <item x="41"/>
        <item x="327"/>
        <item x="174"/>
        <item x="233"/>
        <item x="294"/>
        <item x="258"/>
        <item x="444"/>
        <item x="231"/>
        <item x="379"/>
        <item x="101"/>
        <item x="404"/>
        <item x="151"/>
        <item x="166"/>
        <item x="332"/>
        <item x="154"/>
        <item x="464"/>
        <item x="460"/>
        <item x="295"/>
        <item x="163"/>
        <item x="384"/>
        <item x="376"/>
        <item x="462"/>
        <item x="221"/>
        <item x="237"/>
        <item x="292"/>
        <item x="419"/>
        <item x="125"/>
        <item x="403"/>
        <item x="450"/>
        <item x="211"/>
        <item x="133"/>
        <item x="411"/>
        <item x="69"/>
        <item x="475"/>
        <item x="296"/>
        <item x="267"/>
        <item x="152"/>
        <item x="87"/>
        <item x="107"/>
        <item x="59"/>
        <item x="453"/>
        <item x="316"/>
        <item x="287"/>
        <item x="416"/>
        <item x="78"/>
        <item x="169"/>
        <item x="79"/>
        <item x="340"/>
        <item x="331"/>
        <item x="474"/>
        <item x="136"/>
        <item x="288"/>
        <item x="321"/>
        <item x="205"/>
        <item x="392"/>
        <item x="40"/>
        <item x="34"/>
        <item x="346"/>
        <item x="389"/>
        <item x="102"/>
        <item x="244"/>
        <item x="193"/>
        <item x="330"/>
        <item x="336"/>
        <item x="319"/>
        <item x="3"/>
        <item x="206"/>
        <item x="16"/>
        <item x="353"/>
        <item x="110"/>
        <item x="182"/>
        <item x="431"/>
        <item x="164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5"/>
        <item x="2"/>
        <item x="7"/>
        <item x="3"/>
        <item x="1"/>
        <item x="6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d_angajat" fld="0" subtotal="count" baseField="16" baseItem="4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dataOnly="0" labelOnly="1" outline="0" axis="axisValues" fieldPosition="0"/>
    </format>
    <format dxfId="11">
      <pivotArea field="8" type="button" dataOnly="0" labelOnly="1" outline="0" axis="axisCol" fieldPosition="0"/>
    </format>
    <format dxfId="1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9E923-755B-493E-BCFD-8AE0A21555DD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0:B39" firstHeaderRow="1" firstDataRow="1" firstDataCol="1"/>
  <pivotFields count="21">
    <pivotField compact="0" outline="0" showAll="0">
      <items count="481">
        <item x="425"/>
        <item x="414"/>
        <item x="395"/>
        <item x="238"/>
        <item x="216"/>
        <item x="183"/>
        <item x="228"/>
        <item x="441"/>
        <item x="343"/>
        <item x="377"/>
        <item x="105"/>
        <item x="191"/>
        <item x="289"/>
        <item x="303"/>
        <item x="54"/>
        <item x="71"/>
        <item x="53"/>
        <item x="304"/>
        <item x="248"/>
        <item x="338"/>
        <item x="434"/>
        <item x="236"/>
        <item x="351"/>
        <item x="173"/>
        <item x="115"/>
        <item x="196"/>
        <item x="458"/>
        <item x="17"/>
        <item x="428"/>
        <item x="269"/>
        <item x="190"/>
        <item x="122"/>
        <item x="349"/>
        <item x="439"/>
        <item x="282"/>
        <item x="360"/>
        <item x="393"/>
        <item x="5"/>
        <item x="180"/>
        <item x="313"/>
        <item x="55"/>
        <item x="260"/>
        <item x="215"/>
        <item x="60"/>
        <item x="366"/>
        <item x="201"/>
        <item x="187"/>
        <item x="186"/>
        <item x="385"/>
        <item x="432"/>
        <item x="179"/>
        <item x="57"/>
        <item x="357"/>
        <item x="160"/>
        <item x="426"/>
        <item x="106"/>
        <item x="109"/>
        <item x="24"/>
        <item x="213"/>
        <item x="103"/>
        <item x="334"/>
        <item x="99"/>
        <item x="352"/>
        <item x="300"/>
        <item x="247"/>
        <item x="199"/>
        <item x="66"/>
        <item x="76"/>
        <item x="207"/>
        <item x="448"/>
        <item x="188"/>
        <item x="325"/>
        <item x="284"/>
        <item x="1"/>
        <item x="168"/>
        <item x="184"/>
        <item x="369"/>
        <item x="209"/>
        <item x="242"/>
        <item x="189"/>
        <item x="0"/>
        <item x="8"/>
        <item x="158"/>
        <item x="96"/>
        <item x="162"/>
        <item x="278"/>
        <item x="314"/>
        <item x="38"/>
        <item x="113"/>
        <item x="280"/>
        <item x="309"/>
        <item x="386"/>
        <item x="347"/>
        <item x="461"/>
        <item x="276"/>
        <item x="302"/>
        <item x="297"/>
        <item x="445"/>
        <item x="141"/>
        <item x="86"/>
        <item x="337"/>
        <item x="73"/>
        <item x="83"/>
        <item x="28"/>
        <item x="382"/>
        <item x="7"/>
        <item x="443"/>
        <item x="82"/>
        <item x="153"/>
        <item x="223"/>
        <item x="446"/>
        <item x="116"/>
        <item x="56"/>
        <item x="415"/>
        <item x="117"/>
        <item x="195"/>
        <item x="39"/>
        <item x="412"/>
        <item x="224"/>
        <item x="465"/>
        <item x="364"/>
        <item x="217"/>
        <item x="241"/>
        <item x="137"/>
        <item x="26"/>
        <item x="214"/>
        <item x="47"/>
        <item x="45"/>
        <item x="135"/>
        <item x="451"/>
        <item x="74"/>
        <item x="476"/>
        <item x="12"/>
        <item x="333"/>
        <item x="2"/>
        <item x="350"/>
        <item x="14"/>
        <item x="44"/>
        <item x="467"/>
        <item x="72"/>
        <item x="219"/>
        <item x="398"/>
        <item x="185"/>
        <item x="256"/>
        <item x="4"/>
        <item x="317"/>
        <item x="84"/>
        <item x="471"/>
        <item x="463"/>
        <item x="273"/>
        <item x="456"/>
        <item x="250"/>
        <item x="478"/>
        <item x="43"/>
        <item x="175"/>
        <item x="29"/>
        <item x="394"/>
        <item x="144"/>
        <item x="318"/>
        <item x="32"/>
        <item x="405"/>
        <item x="48"/>
        <item x="272"/>
        <item x="252"/>
        <item x="128"/>
        <item x="421"/>
        <item x="6"/>
        <item x="362"/>
        <item x="218"/>
        <item x="468"/>
        <item x="126"/>
        <item x="440"/>
        <item x="390"/>
        <item x="359"/>
        <item x="417"/>
        <item x="130"/>
        <item x="436"/>
        <item x="88"/>
        <item x="361"/>
        <item x="80"/>
        <item x="127"/>
        <item x="315"/>
        <item x="387"/>
        <item x="401"/>
        <item x="420"/>
        <item x="104"/>
        <item x="145"/>
        <item x="279"/>
        <item x="10"/>
        <item x="91"/>
        <item x="21"/>
        <item x="124"/>
        <item x="424"/>
        <item x="65"/>
        <item x="118"/>
        <item x="197"/>
        <item x="46"/>
        <item x="112"/>
        <item x="290"/>
        <item x="259"/>
        <item x="323"/>
        <item x="167"/>
        <item x="470"/>
        <item x="77"/>
        <item x="67"/>
        <item x="225"/>
        <item x="429"/>
        <item x="308"/>
        <item x="370"/>
        <item x="146"/>
        <item x="58"/>
        <item x="240"/>
        <item x="372"/>
        <item x="291"/>
        <item x="49"/>
        <item x="354"/>
        <item x="375"/>
        <item x="283"/>
        <item x="245"/>
        <item x="408"/>
        <item x="285"/>
        <item x="277"/>
        <item x="301"/>
        <item x="399"/>
        <item x="11"/>
        <item x="33"/>
        <item x="363"/>
        <item x="129"/>
        <item x="37"/>
        <item x="50"/>
        <item x="220"/>
        <item x="263"/>
        <item x="391"/>
        <item x="140"/>
        <item x="293"/>
        <item x="410"/>
        <item x="178"/>
        <item x="232"/>
        <item x="270"/>
        <item x="142"/>
        <item x="159"/>
        <item x="161"/>
        <item x="396"/>
        <item x="64"/>
        <item x="155"/>
        <item x="264"/>
        <item x="306"/>
        <item x="234"/>
        <item x="132"/>
        <item x="477"/>
        <item x="271"/>
        <item x="204"/>
        <item x="348"/>
        <item x="418"/>
        <item x="230"/>
        <item x="89"/>
        <item x="473"/>
        <item x="356"/>
        <item x="454"/>
        <item x="239"/>
        <item x="30"/>
        <item x="114"/>
        <item x="131"/>
        <item x="268"/>
        <item x="341"/>
        <item x="246"/>
        <item x="13"/>
        <item x="373"/>
        <item x="134"/>
        <item x="68"/>
        <item x="194"/>
        <item x="156"/>
        <item x="171"/>
        <item x="18"/>
        <item x="423"/>
        <item x="365"/>
        <item x="342"/>
        <item x="472"/>
        <item x="181"/>
        <item x="212"/>
        <item x="251"/>
        <item x="9"/>
        <item x="261"/>
        <item x="345"/>
        <item x="90"/>
        <item x="380"/>
        <item x="62"/>
        <item x="143"/>
        <item x="139"/>
        <item x="200"/>
        <item x="61"/>
        <item x="148"/>
        <item x="324"/>
        <item x="435"/>
        <item x="210"/>
        <item x="381"/>
        <item x="85"/>
        <item x="299"/>
        <item x="286"/>
        <item x="25"/>
        <item x="367"/>
        <item x="81"/>
        <item x="226"/>
        <item x="149"/>
        <item x="95"/>
        <item x="70"/>
        <item x="227"/>
        <item x="310"/>
        <item x="397"/>
        <item x="344"/>
        <item x="298"/>
        <item x="374"/>
        <item x="383"/>
        <item x="93"/>
        <item x="281"/>
        <item x="388"/>
        <item x="452"/>
        <item x="27"/>
        <item x="442"/>
        <item x="255"/>
        <item x="222"/>
        <item x="22"/>
        <item x="455"/>
        <item x="311"/>
        <item x="368"/>
        <item x="266"/>
        <item x="262"/>
        <item x="138"/>
        <item x="63"/>
        <item x="253"/>
        <item x="120"/>
        <item x="402"/>
        <item x="19"/>
        <item x="123"/>
        <item x="52"/>
        <item x="437"/>
        <item x="406"/>
        <item x="457"/>
        <item x="36"/>
        <item x="176"/>
        <item x="100"/>
        <item x="413"/>
        <item x="249"/>
        <item x="322"/>
        <item x="20"/>
        <item x="147"/>
        <item x="449"/>
        <item x="111"/>
        <item x="150"/>
        <item x="192"/>
        <item x="433"/>
        <item x="51"/>
        <item x="400"/>
        <item x="312"/>
        <item x="229"/>
        <item x="305"/>
        <item x="328"/>
        <item x="98"/>
        <item x="75"/>
        <item x="320"/>
        <item x="447"/>
        <item x="108"/>
        <item x="479"/>
        <item x="469"/>
        <item x="15"/>
        <item x="254"/>
        <item x="208"/>
        <item x="275"/>
        <item x="371"/>
        <item x="335"/>
        <item x="265"/>
        <item x="274"/>
        <item x="422"/>
        <item x="177"/>
        <item x="326"/>
        <item x="427"/>
        <item x="92"/>
        <item x="339"/>
        <item x="31"/>
        <item x="438"/>
        <item x="409"/>
        <item x="307"/>
        <item x="172"/>
        <item x="430"/>
        <item x="94"/>
        <item x="329"/>
        <item x="157"/>
        <item x="243"/>
        <item x="35"/>
        <item x="235"/>
        <item x="119"/>
        <item x="198"/>
        <item x="203"/>
        <item x="42"/>
        <item x="121"/>
        <item x="97"/>
        <item x="165"/>
        <item x="378"/>
        <item x="459"/>
        <item x="202"/>
        <item x="407"/>
        <item x="170"/>
        <item x="23"/>
        <item x="355"/>
        <item x="358"/>
        <item x="466"/>
        <item x="257"/>
        <item x="41"/>
        <item x="327"/>
        <item x="174"/>
        <item x="233"/>
        <item x="294"/>
        <item x="258"/>
        <item x="444"/>
        <item x="231"/>
        <item x="379"/>
        <item x="101"/>
        <item x="404"/>
        <item x="151"/>
        <item x="166"/>
        <item x="332"/>
        <item x="154"/>
        <item x="464"/>
        <item x="460"/>
        <item x="295"/>
        <item x="163"/>
        <item x="384"/>
        <item x="376"/>
        <item x="462"/>
        <item x="221"/>
        <item x="237"/>
        <item x="292"/>
        <item x="419"/>
        <item x="125"/>
        <item x="403"/>
        <item x="450"/>
        <item x="211"/>
        <item x="133"/>
        <item x="411"/>
        <item x="69"/>
        <item x="475"/>
        <item x="296"/>
        <item x="267"/>
        <item x="152"/>
        <item x="87"/>
        <item x="107"/>
        <item x="59"/>
        <item x="453"/>
        <item x="316"/>
        <item x="287"/>
        <item x="416"/>
        <item x="78"/>
        <item x="169"/>
        <item x="79"/>
        <item x="340"/>
        <item x="331"/>
        <item x="474"/>
        <item x="136"/>
        <item x="288"/>
        <item x="321"/>
        <item x="205"/>
        <item x="392"/>
        <item x="40"/>
        <item x="34"/>
        <item x="346"/>
        <item x="389"/>
        <item x="102"/>
        <item x="244"/>
        <item x="193"/>
        <item x="330"/>
        <item x="336"/>
        <item x="319"/>
        <item x="3"/>
        <item x="206"/>
        <item x="16"/>
        <item x="353"/>
        <item x="110"/>
        <item x="182"/>
        <item x="431"/>
        <item x="164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9">
        <item x="5"/>
        <item x="2"/>
        <item x="7"/>
        <item x="3"/>
        <item x="1"/>
        <item x="6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6"/>
  </rowFields>
  <rowItems count="9">
    <i>
      <x v="5"/>
    </i>
    <i>
      <x v="1"/>
    </i>
    <i>
      <x v="4"/>
    </i>
    <i>
      <x/>
    </i>
    <i>
      <x v="3"/>
    </i>
    <i>
      <x v="2"/>
    </i>
    <i>
      <x v="6"/>
    </i>
    <i>
      <x v="7"/>
    </i>
    <i t="grand">
      <x/>
    </i>
  </rowItems>
  <colItems count="1">
    <i/>
  </colItems>
  <dataFields count="1">
    <dataField name="Average of plecat" fld="20" subtotal="average" baseField="16" baseItem="3" numFmtId="10"/>
  </dataFields>
  <formats count="6">
    <format dxfId="21">
      <pivotArea type="all" dataOnly="0" outline="0" fieldPosition="0"/>
    </format>
    <format dxfId="20">
      <pivotArea type="origin" dataOnly="0" labelOnly="1" outline="0" fieldPosition="0"/>
    </format>
    <format dxfId="19">
      <pivotArea dataOnly="0" labelOnly="1" outline="0" axis="axisValues" fieldPosition="0"/>
    </format>
    <format dxfId="18">
      <pivotArea field="8" type="button" dataOnly="0" labelOnly="1" outline="0"/>
    </format>
    <format dxfId="17">
      <pivotArea type="topRight" dataOnly="0" labelOnly="1" outline="0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757483-CAA7-4217-95C2-DCD62950EF21}" autoFormatId="16" applyNumberFormats="0" applyBorderFormats="0" applyFontFormats="0" applyPatternFormats="0" applyAlignmentFormats="0" applyWidthHeightFormats="0">
  <queryTableRefresh nextId="18">
    <queryTableFields count="16">
      <queryTableField id="1" name="id_angajat" tableColumnId="1"/>
      <queryTableField id="2" name="nume" tableColumnId="2"/>
      <queryTableField id="3" name="prenume" tableColumnId="3"/>
      <queryTableField id="4" name="gen" tableColumnId="4"/>
      <queryTableField id="5" name="data_nasterii" tableColumnId="5"/>
      <queryTableField id="6" name="data_angajarii" tableColumnId="6"/>
      <queryTableField id="7" name="id_departament" tableColumnId="7"/>
      <queryTableField id="8" name="functie" tableColumnId="8"/>
      <queryTableField id="9" name="nivel" tableColumnId="9"/>
      <queryTableField id="10" name="oras" tableColumnId="10"/>
      <queryTableField id="11" name="tip_contract" tableColumnId="11"/>
      <queryTableField id="12" name="salariu_brut_lunar" tableColumnId="12"/>
      <queryTableField id="13" name="status" tableColumnId="13"/>
      <queryTableField id="14" name="data_plecarii" tableColumnId="14"/>
      <queryTableField id="15" name="motiv_plecare" tableColumnId="15"/>
      <queryTableField id="16" name="email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081A544-C42C-4684-A478-9024825F0659}" autoFormatId="16" applyNumberFormats="0" applyBorderFormats="0" applyFontFormats="0" applyPatternFormats="0" applyAlignmentFormats="0" applyWidthHeightFormats="0">
  <queryTableRefresh nextId="10">
    <queryTableFields count="9">
      <queryTableField id="1" name="id_evaluare" tableColumnId="1"/>
      <queryTableField id="2" name="id_angajat" tableColumnId="2"/>
      <queryTableField id="3" name="an_evaluare" tableColumnId="3"/>
      <queryTableField id="4" name="scor_performanta" tableColumnId="4"/>
      <queryTableField id="5" name="satisfactie_angajat" tableColumnId="5"/>
      <queryTableField id="6" name="ore_suplimentare_lunare" tableColumnId="6"/>
      <queryTableField id="7" name="ore_training_anual" tableColumnId="7"/>
      <queryTableField id="8" name="zile_concediu_medical" tableColumnId="8"/>
      <queryTableField id="9" name="procent_bonu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F5FB870-155A-4B8C-8180-F1B9D6CEB254}" autoFormatId="16" applyNumberFormats="0" applyBorderFormats="0" applyFontFormats="0" applyPatternFormats="0" applyAlignmentFormats="0" applyWidthHeightFormats="0">
  <queryTableRefresh nextId="5">
    <queryTableFields count="4">
      <queryTableField id="1" name="id_departament" tableColumnId="1"/>
      <queryTableField id="2" name="nume_departament" tableColumnId="2"/>
      <queryTableField id="3" name="oras_sediu" tableColumnId="3"/>
      <queryTableField id="4" name="buget_anual_lei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DC29E7-B143-447D-93B1-7B2E6750B53A}" autoFormatId="16" applyNumberFormats="0" applyBorderFormats="0" applyFontFormats="0" applyPatternFormats="0" applyAlignmentFormats="0" applyWidthHeightFormats="0">
  <queryTableRefresh nextId="41" unboundColumnsRight="5">
    <queryTableFields count="21">
      <queryTableField id="1" name="id_angajat" tableColumnId="1"/>
      <queryTableField id="2" name="nume" tableColumnId="2"/>
      <queryTableField id="3" name="prenume" tableColumnId="3"/>
      <queryTableField id="4" name="gen" tableColumnId="4"/>
      <queryTableField id="5" name="data_nasterii" tableColumnId="5"/>
      <queryTableField id="6" name="data_angajarii" tableColumnId="6"/>
      <queryTableField id="7" name="id_departament" tableColumnId="7"/>
      <queryTableField id="8" name="functie" tableColumnId="8"/>
      <queryTableField id="9" name="nivel" tableColumnId="9"/>
      <queryTableField id="10" name="oras" tableColumnId="10"/>
      <queryTableField id="11" name="tip_contract" tableColumnId="11"/>
      <queryTableField id="12" name="salariu_brut_lunar" tableColumnId="12"/>
      <queryTableField id="13" name="status" tableColumnId="13"/>
      <queryTableField id="14" name="data_plecarii" tableColumnId="14"/>
      <queryTableField id="15" name="motiv_plecare" tableColumnId="15"/>
      <queryTableField id="16" name="email" tableColumnId="16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7D40E-9DCF-429C-95C4-D13246F80B71}" name="angajati" displayName="angajati" ref="A1:P493" tableType="queryTable" totalsRowShown="0">
  <autoFilter ref="A1:P493" xr:uid="{F6F7D40E-9DCF-429C-95C4-D13246F80B71}"/>
  <tableColumns count="16">
    <tableColumn id="1" xr3:uid="{2797B506-DDAF-4CA8-99F2-2A33CEBACCE7}" uniqueName="1" name="id_angajat" queryTableFieldId="1"/>
    <tableColumn id="2" xr3:uid="{2160BBD1-D99D-4706-9B68-5A2F4BB297C3}" uniqueName="2" name="nume" queryTableFieldId="2" dataDxfId="52"/>
    <tableColumn id="3" xr3:uid="{E5E17D02-23D3-43D5-8133-F709D2AFEAE1}" uniqueName="3" name="prenume" queryTableFieldId="3" dataDxfId="51"/>
    <tableColumn id="4" xr3:uid="{3FBE103C-BAEA-47DD-AF6B-9127C52D7C07}" uniqueName="4" name="gen" queryTableFieldId="4" dataDxfId="50"/>
    <tableColumn id="5" xr3:uid="{892AC64B-8956-4D12-90E3-2A10DA576274}" uniqueName="5" name="data_nasterii" queryTableFieldId="5" dataDxfId="49"/>
    <tableColumn id="6" xr3:uid="{989B219D-E762-4425-A738-E217C793D65E}" uniqueName="6" name="data_angajarii" queryTableFieldId="6" dataDxfId="48"/>
    <tableColumn id="7" xr3:uid="{58F7A2FB-8346-4A37-8B8C-3CED1498BE74}" uniqueName="7" name="id_departament" queryTableFieldId="7"/>
    <tableColumn id="8" xr3:uid="{EBDAEBFB-BA29-4877-9733-FFB4587A503E}" uniqueName="8" name="functie" queryTableFieldId="8" dataDxfId="47"/>
    <tableColumn id="9" xr3:uid="{6DCB09F7-8C46-4097-9360-159EBF2FB05E}" uniqueName="9" name="nivel" queryTableFieldId="9" dataDxfId="46"/>
    <tableColumn id="10" xr3:uid="{6E522D6F-6CFA-495E-91E2-6BD233DF0375}" uniqueName="10" name="oras" queryTableFieldId="10" dataDxfId="45"/>
    <tableColumn id="11" xr3:uid="{27E3ED6B-66D7-43F0-9777-ADCED1A9C90A}" uniqueName="11" name="tip_contract" queryTableFieldId="11" dataDxfId="44"/>
    <tableColumn id="12" xr3:uid="{824327E6-8713-4FD9-8A07-28D49BF94F8B}" uniqueName="12" name="salariu_brut_lunar" queryTableFieldId="12"/>
    <tableColumn id="13" xr3:uid="{520F6634-1568-4CE7-9036-036954B0A71B}" uniqueName="13" name="status" queryTableFieldId="13" dataDxfId="43"/>
    <tableColumn id="14" xr3:uid="{5A22C8FA-8032-49D7-9F47-C5EEF3097C96}" uniqueName="14" name="data_plecarii" queryTableFieldId="14" dataDxfId="42"/>
    <tableColumn id="15" xr3:uid="{F10BB2B3-AF73-43F1-952B-F4C03639D8B2}" uniqueName="15" name="motiv_plecare" queryTableFieldId="15" dataDxfId="41"/>
    <tableColumn id="16" xr3:uid="{28A9461E-321F-4BDE-ADDB-401AEEDF3C50}" uniqueName="16" name="email" queryTableFieldId="16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0FC35B-DE6D-4B65-8287-0409801C5AA4}" name="evaluari" displayName="evaluari" ref="A1:I1150" tableType="queryTable" totalsRowShown="0">
  <autoFilter ref="A1:I1150" xr:uid="{A10FC35B-DE6D-4B65-8287-0409801C5AA4}"/>
  <tableColumns count="9">
    <tableColumn id="1" xr3:uid="{39EED818-1021-492F-956E-B1BA3A69E01F}" uniqueName="1" name="id_evaluare" queryTableFieldId="1"/>
    <tableColumn id="2" xr3:uid="{50FBE7B8-5714-46E1-953E-36D65150BF2A}" uniqueName="2" name="id_angajat" queryTableFieldId="2"/>
    <tableColumn id="3" xr3:uid="{F2B5076B-BD2C-4439-B58C-C49A27FE0DEE}" uniqueName="3" name="an_evaluare" queryTableFieldId="3"/>
    <tableColumn id="4" xr3:uid="{BEFB6AA6-F188-48F5-8BCA-75E32EE25304}" uniqueName="4" name="scor_performanta" queryTableFieldId="4"/>
    <tableColumn id="5" xr3:uid="{1F91A0B3-0BBF-4C48-83AA-0169A7A3E337}" uniqueName="5" name="satisfactie_angajat" queryTableFieldId="5"/>
    <tableColumn id="6" xr3:uid="{9569266A-76C6-43F6-9194-99A23A6F2551}" uniqueName="6" name="ore_suplimentare_lunare" queryTableFieldId="6"/>
    <tableColumn id="7" xr3:uid="{59216469-CD6E-4D5A-BF0E-E52B34D98351}" uniqueName="7" name="ore_training_anual" queryTableFieldId="7"/>
    <tableColumn id="8" xr3:uid="{CF635168-CF65-4837-9A25-B4B6D288800E}" uniqueName="8" name="zile_concediu_medical" queryTableFieldId="8"/>
    <tableColumn id="9" xr3:uid="{B77D9452-CA61-4394-8000-F0995F634770}" uniqueName="9" name="procent_bonu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C879FD-6FC3-4FB5-8057-CA71BD1A907A}" name="departamente" displayName="departamente" ref="A1:D9" tableType="queryTable" totalsRowShown="0">
  <autoFilter ref="A1:D9" xr:uid="{4EC879FD-6FC3-4FB5-8057-CA71BD1A907A}"/>
  <tableColumns count="4">
    <tableColumn id="1" xr3:uid="{DFE6A7CD-67AD-48C1-8B84-3342F3EFD397}" uniqueName="1" name="id_departament" queryTableFieldId="1"/>
    <tableColumn id="2" xr3:uid="{7FD34EFD-5AD5-4406-87E8-67600E1841FC}" uniqueName="2" name="nume_departament" queryTableFieldId="2" dataDxfId="39"/>
    <tableColumn id="3" xr3:uid="{BC84700E-916E-4A43-A718-7F12E53132CE}" uniqueName="3" name="oras_sediu" queryTableFieldId="3" dataDxfId="38"/>
    <tableColumn id="4" xr3:uid="{4FE657CE-89A9-4FED-8CF1-4DCBAAAF0B64}" uniqueName="4" name="buget_anual_lei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63F46F-AEEE-4153-B4B9-A5D3394A094A}" name="angajati__2" displayName="angajati__2" ref="A1:U481" tableType="queryTable" totalsRowShown="0" headerRowDxfId="37">
  <autoFilter ref="A1:U481" xr:uid="{D063F46F-AEEE-4153-B4B9-A5D3394A094A}"/>
  <tableColumns count="21">
    <tableColumn id="1" xr3:uid="{FF820CAA-F622-40C5-A022-40AED332B293}" uniqueName="1" name="id_angajat" queryTableFieldId="1"/>
    <tableColumn id="2" xr3:uid="{F3388BD4-6628-4480-8BFF-D7B0E05107F9}" uniqueName="2" name="nume" queryTableFieldId="2" dataDxfId="36"/>
    <tableColumn id="3" xr3:uid="{6DDC9D53-BC35-433D-AA06-A6FBC07CF5F2}" uniqueName="3" name="prenume" queryTableFieldId="3" dataDxfId="35"/>
    <tableColumn id="4" xr3:uid="{80D930CD-9337-4CDD-807B-84821272E5B2}" uniqueName="4" name="gen" queryTableFieldId="4" dataDxfId="34"/>
    <tableColumn id="5" xr3:uid="{147DF1B4-B9B3-4396-A96A-387C779E4A22}" uniqueName="5" name="data_nasterii" queryTableFieldId="5" dataDxfId="33"/>
    <tableColumn id="6" xr3:uid="{F74F756C-1E8E-40D1-9873-32A21F75EA73}" uniqueName="6" name="data_angajarii" queryTableFieldId="6" dataDxfId="32"/>
    <tableColumn id="7" xr3:uid="{EE6B40AC-874F-49B3-8936-7C0F1C61C30F}" uniqueName="7" name="id_departament" queryTableFieldId="7"/>
    <tableColumn id="8" xr3:uid="{91E131FD-7986-4DC8-AD76-380043E1F187}" uniqueName="8" name="functie" queryTableFieldId="8" dataDxfId="31"/>
    <tableColumn id="9" xr3:uid="{70C9D1B6-9959-44B3-973C-65FAA7A492B4}" uniqueName="9" name="nivel" queryTableFieldId="9" dataDxfId="30"/>
    <tableColumn id="10" xr3:uid="{2F6E60DD-CAB4-4E4F-BC59-724D1D304993}" uniqueName="10" name="oras" queryTableFieldId="10" dataDxfId="29"/>
    <tableColumn id="11" xr3:uid="{1D5DA685-C66A-47D6-9D4F-3A83214E0C5C}" uniqueName="11" name="tip_contract" queryTableFieldId="11" dataDxfId="2"/>
    <tableColumn id="12" xr3:uid="{6B1E4A5C-3094-44F5-9A62-A6B5024BE8BA}" uniqueName="12" name="salariu_brut_lunar" queryTableFieldId="12" dataDxfId="0" dataCellStyle="Comma"/>
    <tableColumn id="13" xr3:uid="{9F9081D7-11FA-4B10-A1CE-54214A90AA96}" uniqueName="13" name="status" queryTableFieldId="13" dataDxfId="1"/>
    <tableColumn id="14" xr3:uid="{CB96AF35-6969-4DB3-B055-647824824EB2}" uniqueName="14" name="data_plecarii" queryTableFieldId="14" dataDxfId="28"/>
    <tableColumn id="15" xr3:uid="{F23DD037-51B9-4265-A362-98A59F658EF1}" uniqueName="15" name="motiv_plecare" queryTableFieldId="15" dataDxfId="27"/>
    <tableColumn id="16" xr3:uid="{1528B2A4-5A0A-4181-8319-3486134EEA7D}" uniqueName="16" name="email" queryTableFieldId="16" dataDxfId="26"/>
    <tableColumn id="32" xr3:uid="{A88CE6FF-E04D-439F-9BA8-57E2F6B0B826}" uniqueName="32" name="nume_departament" queryTableFieldId="32" dataDxfId="25">
      <calculatedColumnFormula>_xlfn.XLOOKUP(angajati__2[[#This Row],[id_departament]],departamente!A:A,departamente!B:B)</calculatedColumnFormula>
    </tableColumn>
    <tableColumn id="33" xr3:uid="{086894DB-3E54-4412-9EAD-8FF371B6D127}" uniqueName="33" name="varsta" queryTableFieldId="33" dataDxfId="24">
      <calculatedColumnFormula>DATEDIF(E2,DATE(2025,12,31), "y")</calculatedColumnFormula>
    </tableColumn>
    <tableColumn id="34" xr3:uid="{C7932BC6-445C-40B4-867B-E15D15F76D2C}" uniqueName="34" name="vechime_ani" queryTableFieldId="34" dataDxfId="23">
      <calculatedColumnFormula>ROUND(YEARFRAC(F2, IF(M2="Plecat", N2, DATE(2025,12,31)), 1), 1)</calculatedColumnFormula>
    </tableColumn>
    <tableColumn id="35" xr3:uid="{169A6690-63BF-45C4-A246-E39ECDA86827}" uniqueName="35" name="grupa_vechime" queryTableFieldId="35" dataDxfId="22">
      <calculatedColumnFormula array="1">_xlfn.IFS(
    S2&lt;1, "&lt; 1 an",
    S2&lt;3, "1–3 ani",
    S2&lt;5, "3–5 ani",
    S2&gt;=5, "&gt; 5 ani"
)</calculatedColumnFormula>
    </tableColumn>
    <tableColumn id="36" xr3:uid="{0C4A9DCA-CFD9-4E20-82CA-1DC396920846}" uniqueName="36" name="plecat" queryTableFieldId="36" dataDxfId="3">
      <calculatedColumnFormula>IF(M2="Plecat",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9F6A-6CB5-4735-B6C2-8DF9EF7D604A}">
  <sheetPr>
    <tabColor theme="1" tint="0.499984740745262"/>
  </sheetPr>
  <dimension ref="A1:P493"/>
  <sheetViews>
    <sheetView showGridLines="0" topLeftCell="B1" zoomScale="81" zoomScaleNormal="81" workbookViewId="0">
      <selection activeCell="F18" sqref="F18"/>
    </sheetView>
  </sheetViews>
  <sheetFormatPr defaultRowHeight="14.4" x14ac:dyDescent="0.3"/>
  <cols>
    <col min="1" max="1" width="12.109375" bestFit="1" customWidth="1"/>
    <col min="2" max="2" width="12" bestFit="1" customWidth="1"/>
    <col min="3" max="3" width="10.88671875" bestFit="1" customWidth="1"/>
    <col min="4" max="4" width="8.21875" bestFit="1" customWidth="1"/>
    <col min="5" max="5" width="14.109375" bestFit="1" customWidth="1"/>
    <col min="6" max="6" width="15.33203125" bestFit="1" customWidth="1"/>
    <col min="7" max="7" width="16.88671875" bestFit="1" customWidth="1"/>
    <col min="8" max="8" width="21.6640625" bestFit="1" customWidth="1"/>
    <col min="9" max="9" width="8.21875" bestFit="1" customWidth="1"/>
    <col min="10" max="10" width="11" bestFit="1" customWidth="1"/>
    <col min="11" max="11" width="13.44140625" bestFit="1" customWidth="1"/>
    <col min="12" max="12" width="18.6640625" bestFit="1" customWidth="1"/>
    <col min="13" max="13" width="8.21875" bestFit="1" customWidth="1"/>
    <col min="14" max="14" width="14" bestFit="1" customWidth="1"/>
    <col min="15" max="15" width="30" bestFit="1" customWidth="1"/>
    <col min="16" max="16" width="32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1081</v>
      </c>
      <c r="B2" t="s">
        <v>16</v>
      </c>
      <c r="C2" t="s">
        <v>17</v>
      </c>
      <c r="D2" t="s">
        <v>18</v>
      </c>
      <c r="E2" s="1">
        <v>29381</v>
      </c>
      <c r="F2" s="1">
        <v>43120</v>
      </c>
      <c r="G2">
        <v>60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  <c r="N2" s="1">
        <v>45006</v>
      </c>
      <c r="O2" t="s">
        <v>24</v>
      </c>
      <c r="P2" t="s">
        <v>25</v>
      </c>
    </row>
    <row r="3" spans="1:16" x14ac:dyDescent="0.3">
      <c r="A3">
        <v>1074</v>
      </c>
      <c r="B3" t="s">
        <v>26</v>
      </c>
      <c r="C3" t="s">
        <v>27</v>
      </c>
      <c r="D3" t="s">
        <v>28</v>
      </c>
      <c r="E3" s="1">
        <v>35862</v>
      </c>
      <c r="F3" s="1">
        <v>45497</v>
      </c>
      <c r="G3">
        <v>60</v>
      </c>
      <c r="H3" t="s">
        <v>29</v>
      </c>
      <c r="I3" t="s">
        <v>30</v>
      </c>
      <c r="J3" t="s">
        <v>31</v>
      </c>
      <c r="K3" t="s">
        <v>22</v>
      </c>
      <c r="L3">
        <v>4100</v>
      </c>
      <c r="M3" t="s">
        <v>32</v>
      </c>
      <c r="N3" s="1"/>
      <c r="O3" t="s">
        <v>33</v>
      </c>
      <c r="P3" t="s">
        <v>34</v>
      </c>
    </row>
    <row r="4" spans="1:16" x14ac:dyDescent="0.3">
      <c r="A4">
        <v>1135</v>
      </c>
      <c r="B4" t="s">
        <v>35</v>
      </c>
      <c r="C4" t="s">
        <v>36</v>
      </c>
      <c r="D4" t="s">
        <v>37</v>
      </c>
      <c r="E4" s="1">
        <v>27401</v>
      </c>
      <c r="F4" s="1">
        <v>43248</v>
      </c>
      <c r="G4">
        <v>70</v>
      </c>
      <c r="H4" t="s">
        <v>38</v>
      </c>
      <c r="I4" t="s">
        <v>39</v>
      </c>
      <c r="J4" t="s">
        <v>21</v>
      </c>
      <c r="K4" t="s">
        <v>40</v>
      </c>
      <c r="L4">
        <v>7800</v>
      </c>
      <c r="M4" t="s">
        <v>32</v>
      </c>
      <c r="N4" s="1"/>
      <c r="O4" t="s">
        <v>33</v>
      </c>
      <c r="P4" t="s">
        <v>41</v>
      </c>
    </row>
    <row r="5" spans="1:16" x14ac:dyDescent="0.3">
      <c r="A5">
        <v>1473</v>
      </c>
      <c r="B5" t="s">
        <v>42</v>
      </c>
      <c r="C5" t="s">
        <v>43</v>
      </c>
      <c r="D5" t="s">
        <v>37</v>
      </c>
      <c r="E5" s="1">
        <v>34233</v>
      </c>
      <c r="F5" s="1">
        <v>43666</v>
      </c>
      <c r="G5">
        <v>10</v>
      </c>
      <c r="H5" t="s">
        <v>44</v>
      </c>
      <c r="I5" t="s">
        <v>45</v>
      </c>
      <c r="J5" t="s">
        <v>46</v>
      </c>
      <c r="K5" t="s">
        <v>22</v>
      </c>
      <c r="L5">
        <v>6100</v>
      </c>
      <c r="M5" t="s">
        <v>32</v>
      </c>
      <c r="N5" s="1"/>
      <c r="O5" t="s">
        <v>33</v>
      </c>
      <c r="P5" t="s">
        <v>47</v>
      </c>
    </row>
    <row r="6" spans="1:16" x14ac:dyDescent="0.3">
      <c r="A6">
        <v>1145</v>
      </c>
      <c r="B6" t="s">
        <v>48</v>
      </c>
      <c r="C6" t="s">
        <v>43</v>
      </c>
      <c r="D6" t="s">
        <v>37</v>
      </c>
      <c r="E6" s="1">
        <v>34452</v>
      </c>
      <c r="F6" s="1">
        <v>44808</v>
      </c>
      <c r="G6">
        <v>10</v>
      </c>
      <c r="H6" t="s">
        <v>49</v>
      </c>
      <c r="I6" t="s">
        <v>39</v>
      </c>
      <c r="J6" t="s">
        <v>21</v>
      </c>
      <c r="K6" t="s">
        <v>22</v>
      </c>
      <c r="L6">
        <v>14500</v>
      </c>
      <c r="M6" t="s">
        <v>32</v>
      </c>
      <c r="N6" s="1"/>
      <c r="O6" t="s">
        <v>33</v>
      </c>
      <c r="P6" t="s">
        <v>50</v>
      </c>
    </row>
    <row r="7" spans="1:16" x14ac:dyDescent="0.3">
      <c r="A7">
        <v>1038</v>
      </c>
      <c r="B7" t="s">
        <v>48</v>
      </c>
      <c r="C7" t="s">
        <v>51</v>
      </c>
      <c r="D7" t="s">
        <v>18</v>
      </c>
      <c r="E7" s="1">
        <v>33039</v>
      </c>
      <c r="F7" s="1">
        <v>42929</v>
      </c>
      <c r="G7">
        <v>60</v>
      </c>
      <c r="H7" t="s">
        <v>19</v>
      </c>
      <c r="I7" t="s">
        <v>20</v>
      </c>
      <c r="J7" t="s">
        <v>52</v>
      </c>
      <c r="K7" t="s">
        <v>22</v>
      </c>
      <c r="L7">
        <v>8000</v>
      </c>
      <c r="M7" t="s">
        <v>32</v>
      </c>
      <c r="N7" s="1"/>
      <c r="O7" t="s">
        <v>33</v>
      </c>
      <c r="P7" t="s">
        <v>53</v>
      </c>
    </row>
    <row r="8" spans="1:16" x14ac:dyDescent="0.3">
      <c r="A8">
        <v>1167</v>
      </c>
      <c r="B8" t="s">
        <v>54</v>
      </c>
      <c r="C8" t="s">
        <v>27</v>
      </c>
      <c r="D8" t="s">
        <v>55</v>
      </c>
      <c r="E8" s="1">
        <v>28122</v>
      </c>
      <c r="F8" s="1">
        <v>45662</v>
      </c>
      <c r="G8">
        <v>30</v>
      </c>
      <c r="H8" t="s">
        <v>56</v>
      </c>
      <c r="I8" t="s">
        <v>30</v>
      </c>
      <c r="J8" t="s">
        <v>21</v>
      </c>
      <c r="K8" t="s">
        <v>40</v>
      </c>
      <c r="L8">
        <v>5950</v>
      </c>
      <c r="M8" t="s">
        <v>32</v>
      </c>
      <c r="N8" s="1"/>
      <c r="O8" t="s">
        <v>33</v>
      </c>
      <c r="P8" t="s">
        <v>57</v>
      </c>
    </row>
    <row r="9" spans="1:16" x14ac:dyDescent="0.3">
      <c r="A9">
        <v>1106</v>
      </c>
      <c r="B9" t="s">
        <v>58</v>
      </c>
      <c r="C9" t="s">
        <v>59</v>
      </c>
      <c r="D9" t="s">
        <v>18</v>
      </c>
      <c r="E9" s="1">
        <v>32723</v>
      </c>
      <c r="F9" s="1">
        <v>45296</v>
      </c>
      <c r="G9">
        <v>20</v>
      </c>
      <c r="H9" t="s">
        <v>60</v>
      </c>
      <c r="I9" t="s">
        <v>20</v>
      </c>
      <c r="J9" t="s">
        <v>61</v>
      </c>
      <c r="K9" t="s">
        <v>22</v>
      </c>
      <c r="L9">
        <v>11700</v>
      </c>
      <c r="M9" t="s">
        <v>23</v>
      </c>
      <c r="N9" s="1">
        <v>45811</v>
      </c>
      <c r="O9" t="s">
        <v>62</v>
      </c>
      <c r="P9" t="s">
        <v>63</v>
      </c>
    </row>
    <row r="10" spans="1:16" x14ac:dyDescent="0.3">
      <c r="A10">
        <v>1082</v>
      </c>
      <c r="B10" t="s">
        <v>64</v>
      </c>
      <c r="C10" t="s">
        <v>65</v>
      </c>
      <c r="D10" t="s">
        <v>18</v>
      </c>
      <c r="E10" s="1">
        <v>29015</v>
      </c>
      <c r="F10" s="1">
        <v>43499</v>
      </c>
      <c r="G10">
        <v>70</v>
      </c>
      <c r="H10" t="s">
        <v>38</v>
      </c>
      <c r="I10" t="s">
        <v>39</v>
      </c>
      <c r="J10" t="s">
        <v>31</v>
      </c>
      <c r="K10" t="s">
        <v>22</v>
      </c>
      <c r="L10">
        <v>6300</v>
      </c>
      <c r="M10" t="s">
        <v>32</v>
      </c>
      <c r="N10" s="1"/>
      <c r="O10" t="s">
        <v>33</v>
      </c>
      <c r="P10" t="s">
        <v>66</v>
      </c>
    </row>
    <row r="11" spans="1:16" x14ac:dyDescent="0.3">
      <c r="A11">
        <v>1282</v>
      </c>
      <c r="B11" t="s">
        <v>67</v>
      </c>
      <c r="C11" t="s">
        <v>65</v>
      </c>
      <c r="D11" t="s">
        <v>18</v>
      </c>
      <c r="E11" s="1">
        <v>32317</v>
      </c>
      <c r="F11" s="1">
        <v>45792</v>
      </c>
      <c r="G11">
        <v>20</v>
      </c>
      <c r="H11" t="s">
        <v>68</v>
      </c>
      <c r="I11" t="s">
        <v>30</v>
      </c>
      <c r="J11" t="s">
        <v>21</v>
      </c>
      <c r="K11" t="s">
        <v>22</v>
      </c>
      <c r="L11">
        <v>5650</v>
      </c>
      <c r="M11" t="s">
        <v>32</v>
      </c>
      <c r="N11" s="1"/>
      <c r="O11" t="s">
        <v>33</v>
      </c>
      <c r="P11" t="s">
        <v>69</v>
      </c>
    </row>
    <row r="12" spans="1:16" x14ac:dyDescent="0.3">
      <c r="A12">
        <v>1189</v>
      </c>
      <c r="B12" t="s">
        <v>70</v>
      </c>
      <c r="C12" t="s">
        <v>43</v>
      </c>
      <c r="D12" t="s">
        <v>37</v>
      </c>
      <c r="E12" s="1">
        <v>32560</v>
      </c>
      <c r="F12" s="1">
        <v>43703</v>
      </c>
      <c r="G12">
        <v>50</v>
      </c>
      <c r="H12" t="s">
        <v>71</v>
      </c>
      <c r="I12" t="s">
        <v>39</v>
      </c>
      <c r="J12" t="s">
        <v>21</v>
      </c>
      <c r="K12" t="s">
        <v>22</v>
      </c>
      <c r="L12">
        <v>10200</v>
      </c>
      <c r="M12" t="s">
        <v>32</v>
      </c>
      <c r="N12" s="1"/>
      <c r="O12" t="s">
        <v>33</v>
      </c>
      <c r="P12" t="s">
        <v>72</v>
      </c>
    </row>
    <row r="13" spans="1:16" x14ac:dyDescent="0.3">
      <c r="A13">
        <v>1225</v>
      </c>
      <c r="B13" t="s">
        <v>73</v>
      </c>
      <c r="C13" t="s">
        <v>74</v>
      </c>
      <c r="D13" t="s">
        <v>18</v>
      </c>
      <c r="E13" s="1">
        <v>32621</v>
      </c>
      <c r="F13" s="1">
        <v>43376</v>
      </c>
      <c r="G13">
        <v>70</v>
      </c>
      <c r="H13" t="s">
        <v>75</v>
      </c>
      <c r="I13" t="s">
        <v>20</v>
      </c>
      <c r="J13" t="s">
        <v>31</v>
      </c>
      <c r="K13" t="s">
        <v>22</v>
      </c>
      <c r="L13">
        <v>9550</v>
      </c>
      <c r="M13" t="s">
        <v>32</v>
      </c>
      <c r="N13" s="1"/>
      <c r="O13" t="s">
        <v>33</v>
      </c>
      <c r="P13" t="s">
        <v>76</v>
      </c>
    </row>
    <row r="14" spans="1:16" x14ac:dyDescent="0.3">
      <c r="A14">
        <v>1133</v>
      </c>
      <c r="B14" t="s">
        <v>77</v>
      </c>
      <c r="C14" t="s">
        <v>65</v>
      </c>
      <c r="D14" t="s">
        <v>18</v>
      </c>
      <c r="E14" s="1">
        <v>34006</v>
      </c>
      <c r="F14" s="1">
        <v>43835</v>
      </c>
      <c r="G14">
        <v>60</v>
      </c>
      <c r="H14" t="s">
        <v>78</v>
      </c>
      <c r="I14" t="s">
        <v>45</v>
      </c>
      <c r="J14" t="s">
        <v>52</v>
      </c>
      <c r="K14" t="s">
        <v>22</v>
      </c>
      <c r="L14">
        <v>2750</v>
      </c>
      <c r="M14" t="s">
        <v>32</v>
      </c>
      <c r="N14" s="1"/>
      <c r="O14" t="s">
        <v>33</v>
      </c>
      <c r="P14" t="s">
        <v>79</v>
      </c>
    </row>
    <row r="15" spans="1:16" x14ac:dyDescent="0.3">
      <c r="A15">
        <v>1267</v>
      </c>
      <c r="B15" t="s">
        <v>80</v>
      </c>
      <c r="C15" t="s">
        <v>81</v>
      </c>
      <c r="D15" t="s">
        <v>37</v>
      </c>
      <c r="E15" s="1">
        <v>32646</v>
      </c>
      <c r="F15" s="1">
        <v>42689</v>
      </c>
      <c r="G15">
        <v>30</v>
      </c>
      <c r="H15" t="s">
        <v>56</v>
      </c>
      <c r="I15" t="s">
        <v>30</v>
      </c>
      <c r="J15" t="s">
        <v>46</v>
      </c>
      <c r="K15" t="s">
        <v>22</v>
      </c>
      <c r="L15">
        <v>6700</v>
      </c>
      <c r="M15" t="s">
        <v>32</v>
      </c>
      <c r="N15" s="1"/>
      <c r="O15" t="s">
        <v>33</v>
      </c>
      <c r="P15" t="s">
        <v>82</v>
      </c>
    </row>
    <row r="16" spans="1:16" x14ac:dyDescent="0.3">
      <c r="A16">
        <v>1137</v>
      </c>
      <c r="B16" t="s">
        <v>35</v>
      </c>
      <c r="C16" t="s">
        <v>17</v>
      </c>
      <c r="D16" t="s">
        <v>18</v>
      </c>
      <c r="E16" s="1">
        <v>27309</v>
      </c>
      <c r="F16" s="1">
        <v>45771</v>
      </c>
      <c r="G16">
        <v>30</v>
      </c>
      <c r="H16" t="s">
        <v>56</v>
      </c>
      <c r="I16" t="s">
        <v>39</v>
      </c>
      <c r="J16" t="s">
        <v>83</v>
      </c>
      <c r="K16" t="s">
        <v>40</v>
      </c>
      <c r="L16">
        <v>8900</v>
      </c>
      <c r="M16" t="s">
        <v>32</v>
      </c>
      <c r="N16" s="1"/>
      <c r="O16" t="s">
        <v>33</v>
      </c>
      <c r="P16" t="s">
        <v>84</v>
      </c>
    </row>
    <row r="17" spans="1:16" x14ac:dyDescent="0.3">
      <c r="A17">
        <v>1365</v>
      </c>
      <c r="B17" t="s">
        <v>85</v>
      </c>
      <c r="C17" t="s">
        <v>36</v>
      </c>
      <c r="D17" t="s">
        <v>37</v>
      </c>
      <c r="E17" s="1">
        <v>32316</v>
      </c>
      <c r="F17" s="1">
        <v>45097</v>
      </c>
      <c r="G17">
        <v>70</v>
      </c>
      <c r="H17" t="s">
        <v>38</v>
      </c>
      <c r="I17" t="s">
        <v>45</v>
      </c>
      <c r="J17" t="s">
        <v>31</v>
      </c>
      <c r="K17" t="s">
        <v>22</v>
      </c>
      <c r="L17">
        <v>3200</v>
      </c>
      <c r="M17" t="s">
        <v>32</v>
      </c>
      <c r="N17" s="1"/>
      <c r="O17" t="s">
        <v>33</v>
      </c>
      <c r="P17" t="s">
        <v>86</v>
      </c>
    </row>
    <row r="18" spans="1:16" x14ac:dyDescent="0.3">
      <c r="A18">
        <v>1475</v>
      </c>
      <c r="B18" t="s">
        <v>48</v>
      </c>
      <c r="C18" t="s">
        <v>17</v>
      </c>
      <c r="D18" t="s">
        <v>18</v>
      </c>
      <c r="E18" s="1">
        <v>29213</v>
      </c>
      <c r="F18" s="1">
        <v>42724</v>
      </c>
      <c r="G18">
        <v>10</v>
      </c>
      <c r="H18" t="s">
        <v>87</v>
      </c>
      <c r="I18" t="s">
        <v>39</v>
      </c>
      <c r="J18" t="s">
        <v>21</v>
      </c>
      <c r="K18" t="s">
        <v>22</v>
      </c>
      <c r="L18">
        <v>12350</v>
      </c>
      <c r="M18" t="s">
        <v>32</v>
      </c>
      <c r="N18" s="1"/>
      <c r="O18" t="s">
        <v>33</v>
      </c>
      <c r="P18" t="s">
        <v>88</v>
      </c>
    </row>
    <row r="19" spans="1:16" x14ac:dyDescent="0.3">
      <c r="A19">
        <v>1028</v>
      </c>
      <c r="B19" t="s">
        <v>89</v>
      </c>
      <c r="C19" t="s">
        <v>90</v>
      </c>
      <c r="D19" t="s">
        <v>18</v>
      </c>
      <c r="E19" s="1">
        <v>29943</v>
      </c>
      <c r="F19" s="1">
        <v>43945</v>
      </c>
      <c r="G19">
        <v>70</v>
      </c>
      <c r="H19" t="s">
        <v>38</v>
      </c>
      <c r="I19" t="s">
        <v>30</v>
      </c>
      <c r="J19" t="s">
        <v>31</v>
      </c>
      <c r="K19" t="s">
        <v>22</v>
      </c>
      <c r="L19">
        <v>4550</v>
      </c>
      <c r="M19" t="s">
        <v>32</v>
      </c>
      <c r="N19" s="1"/>
      <c r="O19" t="s">
        <v>33</v>
      </c>
      <c r="P19" t="s">
        <v>91</v>
      </c>
    </row>
    <row r="20" spans="1:16" x14ac:dyDescent="0.3">
      <c r="A20">
        <v>1274</v>
      </c>
      <c r="B20" t="s">
        <v>92</v>
      </c>
      <c r="C20" t="s">
        <v>74</v>
      </c>
      <c r="D20" t="s">
        <v>18</v>
      </c>
      <c r="E20" s="1">
        <v>33086</v>
      </c>
      <c r="F20" s="1">
        <v>44939</v>
      </c>
      <c r="G20">
        <v>10</v>
      </c>
      <c r="H20" t="s">
        <v>87</v>
      </c>
      <c r="I20" t="s">
        <v>30</v>
      </c>
      <c r="J20" t="s">
        <v>21</v>
      </c>
      <c r="K20" t="s">
        <v>22</v>
      </c>
      <c r="L20">
        <v>9200</v>
      </c>
      <c r="M20" t="s">
        <v>32</v>
      </c>
      <c r="N20" s="1"/>
      <c r="O20" t="s">
        <v>33</v>
      </c>
      <c r="P20" t="s">
        <v>93</v>
      </c>
    </row>
    <row r="21" spans="1:16" x14ac:dyDescent="0.3">
      <c r="A21">
        <v>1333</v>
      </c>
      <c r="B21" t="s">
        <v>94</v>
      </c>
      <c r="C21" t="s">
        <v>95</v>
      </c>
      <c r="D21" t="s">
        <v>96</v>
      </c>
      <c r="E21" s="1">
        <v>34085</v>
      </c>
      <c r="F21" s="1">
        <v>44036</v>
      </c>
      <c r="G21">
        <v>60</v>
      </c>
      <c r="H21" t="s">
        <v>78</v>
      </c>
      <c r="I21" t="s">
        <v>30</v>
      </c>
      <c r="J21" t="s">
        <v>52</v>
      </c>
      <c r="K21" t="s">
        <v>22</v>
      </c>
      <c r="L21">
        <v>4300</v>
      </c>
      <c r="M21" t="s">
        <v>32</v>
      </c>
      <c r="N21" s="1"/>
      <c r="O21" t="s">
        <v>33</v>
      </c>
      <c r="P21" t="s">
        <v>97</v>
      </c>
    </row>
    <row r="22" spans="1:16" x14ac:dyDescent="0.3">
      <c r="A22">
        <v>1345</v>
      </c>
      <c r="B22" t="s">
        <v>73</v>
      </c>
      <c r="C22" t="s">
        <v>98</v>
      </c>
      <c r="D22" t="s">
        <v>37</v>
      </c>
      <c r="E22" s="1">
        <v>34151</v>
      </c>
      <c r="F22" s="1">
        <v>42900</v>
      </c>
      <c r="G22">
        <v>20</v>
      </c>
      <c r="H22" t="s">
        <v>68</v>
      </c>
      <c r="I22" t="s">
        <v>45</v>
      </c>
      <c r="J22" t="s">
        <v>61</v>
      </c>
      <c r="K22" t="s">
        <v>22</v>
      </c>
      <c r="L22">
        <v>4250</v>
      </c>
      <c r="M22" t="s">
        <v>32</v>
      </c>
      <c r="N22" s="1"/>
      <c r="O22" t="s">
        <v>33</v>
      </c>
      <c r="P22" t="s">
        <v>99</v>
      </c>
    </row>
    <row r="23" spans="1:16" x14ac:dyDescent="0.3">
      <c r="A23">
        <v>1191</v>
      </c>
      <c r="B23" t="s">
        <v>100</v>
      </c>
      <c r="C23" t="s">
        <v>17</v>
      </c>
      <c r="D23" t="s">
        <v>18</v>
      </c>
      <c r="E23" s="1">
        <v>27885</v>
      </c>
      <c r="F23" s="1">
        <v>45518</v>
      </c>
      <c r="G23">
        <v>40</v>
      </c>
      <c r="H23" t="s">
        <v>101</v>
      </c>
      <c r="I23" t="s">
        <v>30</v>
      </c>
      <c r="J23" t="s">
        <v>21</v>
      </c>
      <c r="K23" t="s">
        <v>22</v>
      </c>
      <c r="L23">
        <v>6100</v>
      </c>
      <c r="M23" t="s">
        <v>32</v>
      </c>
      <c r="N23" s="1"/>
      <c r="O23" t="s">
        <v>33</v>
      </c>
      <c r="P23" t="s">
        <v>102</v>
      </c>
    </row>
    <row r="24" spans="1:16" x14ac:dyDescent="0.3">
      <c r="A24">
        <v>1322</v>
      </c>
      <c r="B24" t="s">
        <v>94</v>
      </c>
      <c r="C24" t="s">
        <v>103</v>
      </c>
      <c r="D24" t="s">
        <v>37</v>
      </c>
      <c r="E24" s="1">
        <v>30718</v>
      </c>
      <c r="F24" s="1">
        <v>42689</v>
      </c>
      <c r="G24">
        <v>20</v>
      </c>
      <c r="H24" t="s">
        <v>104</v>
      </c>
      <c r="I24" t="s">
        <v>30</v>
      </c>
      <c r="J24" t="s">
        <v>21</v>
      </c>
      <c r="K24" t="s">
        <v>22</v>
      </c>
      <c r="L24">
        <v>5700</v>
      </c>
      <c r="M24" t="s">
        <v>23</v>
      </c>
      <c r="N24" s="1">
        <v>44180</v>
      </c>
      <c r="O24" t="s">
        <v>105</v>
      </c>
      <c r="P24" t="s">
        <v>106</v>
      </c>
    </row>
    <row r="25" spans="1:16" x14ac:dyDescent="0.3">
      <c r="A25">
        <v>1403</v>
      </c>
      <c r="B25" t="s">
        <v>42</v>
      </c>
      <c r="C25" t="s">
        <v>107</v>
      </c>
      <c r="D25" t="s">
        <v>37</v>
      </c>
      <c r="E25" s="1">
        <v>27222</v>
      </c>
      <c r="F25" s="1">
        <v>43492</v>
      </c>
      <c r="G25">
        <v>10</v>
      </c>
      <c r="H25" t="s">
        <v>108</v>
      </c>
      <c r="I25" t="s">
        <v>39</v>
      </c>
      <c r="J25" t="s">
        <v>21</v>
      </c>
      <c r="K25" t="s">
        <v>22</v>
      </c>
      <c r="L25">
        <v>14650</v>
      </c>
      <c r="M25" t="s">
        <v>32</v>
      </c>
      <c r="N25" s="1"/>
      <c r="O25" t="s">
        <v>33</v>
      </c>
      <c r="P25" t="s">
        <v>109</v>
      </c>
    </row>
    <row r="26" spans="1:16" x14ac:dyDescent="0.3">
      <c r="A26">
        <v>1058</v>
      </c>
      <c r="B26" t="s">
        <v>80</v>
      </c>
      <c r="C26" t="s">
        <v>110</v>
      </c>
      <c r="D26" t="s">
        <v>37</v>
      </c>
      <c r="E26" s="1">
        <v>28282</v>
      </c>
      <c r="F26" s="1">
        <v>43315</v>
      </c>
      <c r="G26">
        <v>70</v>
      </c>
      <c r="H26" t="s">
        <v>38</v>
      </c>
      <c r="I26" t="s">
        <v>39</v>
      </c>
      <c r="J26" t="s">
        <v>31</v>
      </c>
      <c r="K26" t="s">
        <v>22</v>
      </c>
      <c r="L26">
        <v>8150</v>
      </c>
      <c r="M26" t="s">
        <v>32</v>
      </c>
      <c r="N26" s="1"/>
      <c r="O26" t="s">
        <v>33</v>
      </c>
      <c r="P26" t="s">
        <v>111</v>
      </c>
    </row>
    <row r="27" spans="1:16" x14ac:dyDescent="0.3">
      <c r="A27">
        <v>1300</v>
      </c>
      <c r="B27" t="s">
        <v>112</v>
      </c>
      <c r="C27" t="s">
        <v>113</v>
      </c>
      <c r="D27" t="s">
        <v>37</v>
      </c>
      <c r="E27" s="1">
        <v>36678</v>
      </c>
      <c r="F27" s="1">
        <v>44467</v>
      </c>
      <c r="G27">
        <v>30</v>
      </c>
      <c r="H27" t="s">
        <v>56</v>
      </c>
      <c r="I27" t="s">
        <v>45</v>
      </c>
      <c r="J27" t="s">
        <v>46</v>
      </c>
      <c r="K27" t="s">
        <v>22</v>
      </c>
      <c r="L27">
        <v>3400</v>
      </c>
      <c r="M27" t="s">
        <v>32</v>
      </c>
      <c r="N27" s="1"/>
      <c r="O27" t="s">
        <v>33</v>
      </c>
      <c r="P27" t="s">
        <v>114</v>
      </c>
    </row>
    <row r="28" spans="1:16" x14ac:dyDescent="0.3">
      <c r="A28">
        <v>1125</v>
      </c>
      <c r="B28" t="s">
        <v>115</v>
      </c>
      <c r="C28" t="s">
        <v>103</v>
      </c>
      <c r="D28" t="s">
        <v>37</v>
      </c>
      <c r="E28" s="1">
        <v>35131</v>
      </c>
      <c r="F28" s="1">
        <v>43222</v>
      </c>
      <c r="G28">
        <v>70</v>
      </c>
      <c r="H28" t="s">
        <v>116</v>
      </c>
      <c r="I28" t="s">
        <v>30</v>
      </c>
      <c r="J28" t="s">
        <v>31</v>
      </c>
      <c r="K28" t="s">
        <v>22</v>
      </c>
      <c r="L28">
        <v>5450</v>
      </c>
      <c r="M28" t="s">
        <v>23</v>
      </c>
      <c r="N28" s="1">
        <v>44578</v>
      </c>
      <c r="O28" t="s">
        <v>117</v>
      </c>
      <c r="P28" t="s">
        <v>118</v>
      </c>
    </row>
    <row r="29" spans="1:16" x14ac:dyDescent="0.3">
      <c r="A29">
        <v>1318</v>
      </c>
      <c r="B29" t="s">
        <v>70</v>
      </c>
      <c r="C29" t="s">
        <v>119</v>
      </c>
      <c r="D29" t="s">
        <v>18</v>
      </c>
      <c r="E29" s="1">
        <v>29751</v>
      </c>
      <c r="F29" s="1">
        <v>44298</v>
      </c>
      <c r="G29">
        <v>40</v>
      </c>
      <c r="H29" t="s">
        <v>120</v>
      </c>
      <c r="I29" t="s">
        <v>30</v>
      </c>
      <c r="J29" t="s">
        <v>21</v>
      </c>
      <c r="K29" t="s">
        <v>22</v>
      </c>
      <c r="L29">
        <v>5100</v>
      </c>
      <c r="M29" t="s">
        <v>32</v>
      </c>
      <c r="N29" s="1"/>
      <c r="O29" t="s">
        <v>33</v>
      </c>
      <c r="P29" t="s">
        <v>121</v>
      </c>
    </row>
    <row r="30" spans="1:16" x14ac:dyDescent="0.3">
      <c r="A30">
        <v>1104</v>
      </c>
      <c r="B30" t="s">
        <v>122</v>
      </c>
      <c r="C30" t="s">
        <v>90</v>
      </c>
      <c r="D30" t="s">
        <v>18</v>
      </c>
      <c r="E30" s="1">
        <v>33047</v>
      </c>
      <c r="F30" s="1">
        <v>43639</v>
      </c>
      <c r="G30">
        <v>50</v>
      </c>
      <c r="H30" t="s">
        <v>123</v>
      </c>
      <c r="I30" t="s">
        <v>30</v>
      </c>
      <c r="J30" t="s">
        <v>21</v>
      </c>
      <c r="K30" t="s">
        <v>22</v>
      </c>
      <c r="L30">
        <v>6300</v>
      </c>
      <c r="M30" t="s">
        <v>32</v>
      </c>
      <c r="N30" s="1"/>
      <c r="O30" t="s">
        <v>33</v>
      </c>
      <c r="P30" t="s">
        <v>124</v>
      </c>
    </row>
    <row r="31" spans="1:16" x14ac:dyDescent="0.3">
      <c r="A31">
        <v>1156</v>
      </c>
      <c r="B31" t="s">
        <v>125</v>
      </c>
      <c r="C31" t="s">
        <v>126</v>
      </c>
      <c r="D31" t="s">
        <v>37</v>
      </c>
      <c r="E31" s="1">
        <v>35232</v>
      </c>
      <c r="F31" s="1">
        <v>44888</v>
      </c>
      <c r="G31">
        <v>20</v>
      </c>
      <c r="H31" t="s">
        <v>104</v>
      </c>
      <c r="I31" t="s">
        <v>45</v>
      </c>
      <c r="J31" t="s">
        <v>52</v>
      </c>
      <c r="K31" t="s">
        <v>22</v>
      </c>
      <c r="L31">
        <v>3450</v>
      </c>
      <c r="M31" t="s">
        <v>32</v>
      </c>
      <c r="N31" s="1"/>
      <c r="O31" t="s">
        <v>33</v>
      </c>
      <c r="P31" t="s">
        <v>127</v>
      </c>
    </row>
    <row r="32" spans="1:16" x14ac:dyDescent="0.3">
      <c r="A32">
        <v>1261</v>
      </c>
      <c r="B32" t="s">
        <v>122</v>
      </c>
      <c r="C32" t="s">
        <v>128</v>
      </c>
      <c r="D32" t="s">
        <v>18</v>
      </c>
      <c r="E32" s="1">
        <v>30567</v>
      </c>
      <c r="F32" s="1">
        <v>44459</v>
      </c>
      <c r="G32">
        <v>60</v>
      </c>
      <c r="H32" t="s">
        <v>78</v>
      </c>
      <c r="I32" t="s">
        <v>45</v>
      </c>
      <c r="J32" t="s">
        <v>52</v>
      </c>
      <c r="K32" t="s">
        <v>22</v>
      </c>
      <c r="L32">
        <v>2800</v>
      </c>
      <c r="M32" t="s">
        <v>32</v>
      </c>
      <c r="N32" s="1"/>
      <c r="O32" t="s">
        <v>33</v>
      </c>
      <c r="P32" t="s">
        <v>129</v>
      </c>
    </row>
    <row r="33" spans="1:16" x14ac:dyDescent="0.3">
      <c r="A33">
        <v>1379</v>
      </c>
      <c r="B33" t="s">
        <v>42</v>
      </c>
      <c r="C33" t="s">
        <v>43</v>
      </c>
      <c r="D33" t="s">
        <v>37</v>
      </c>
      <c r="E33" s="1">
        <v>31800</v>
      </c>
      <c r="F33" s="1">
        <v>42764</v>
      </c>
      <c r="G33">
        <v>10</v>
      </c>
      <c r="H33" t="s">
        <v>87</v>
      </c>
      <c r="I33" t="s">
        <v>45</v>
      </c>
      <c r="J33" t="s">
        <v>21</v>
      </c>
      <c r="K33" t="s">
        <v>22</v>
      </c>
      <c r="L33">
        <v>5750</v>
      </c>
      <c r="M33" t="s">
        <v>32</v>
      </c>
      <c r="N33" s="1"/>
      <c r="O33" t="s">
        <v>33</v>
      </c>
      <c r="P33" t="s">
        <v>130</v>
      </c>
    </row>
    <row r="34" spans="1:16" x14ac:dyDescent="0.3">
      <c r="A34">
        <v>1160</v>
      </c>
      <c r="B34" t="s">
        <v>26</v>
      </c>
      <c r="C34" t="s">
        <v>131</v>
      </c>
      <c r="D34" t="s">
        <v>18</v>
      </c>
      <c r="E34" s="1">
        <v>29909</v>
      </c>
      <c r="F34" s="1">
        <v>44968</v>
      </c>
      <c r="G34">
        <v>70</v>
      </c>
      <c r="H34" t="s">
        <v>38</v>
      </c>
      <c r="I34" t="s">
        <v>45</v>
      </c>
      <c r="J34" t="s">
        <v>132</v>
      </c>
      <c r="K34" t="s">
        <v>40</v>
      </c>
      <c r="L34">
        <v>3100</v>
      </c>
      <c r="M34" t="s">
        <v>32</v>
      </c>
      <c r="N34" s="1"/>
      <c r="O34" t="s">
        <v>33</v>
      </c>
      <c r="P34" t="s">
        <v>133</v>
      </c>
    </row>
    <row r="35" spans="1:16" x14ac:dyDescent="0.3">
      <c r="A35">
        <v>1226</v>
      </c>
      <c r="B35" t="s">
        <v>134</v>
      </c>
      <c r="C35" t="s">
        <v>27</v>
      </c>
      <c r="D35" t="s">
        <v>37</v>
      </c>
      <c r="E35" s="1">
        <v>34918</v>
      </c>
      <c r="F35" s="1">
        <v>42783</v>
      </c>
      <c r="G35">
        <v>10</v>
      </c>
      <c r="H35" t="s">
        <v>44</v>
      </c>
      <c r="I35" t="s">
        <v>45</v>
      </c>
      <c r="J35" t="s">
        <v>46</v>
      </c>
      <c r="K35" t="s">
        <v>22</v>
      </c>
      <c r="L35">
        <v>5200</v>
      </c>
      <c r="M35" t="s">
        <v>32</v>
      </c>
      <c r="N35" s="1"/>
      <c r="O35" t="s">
        <v>33</v>
      </c>
      <c r="P35" t="s">
        <v>135</v>
      </c>
    </row>
    <row r="36" spans="1:16" x14ac:dyDescent="0.3">
      <c r="A36">
        <v>1464</v>
      </c>
      <c r="B36" t="s">
        <v>136</v>
      </c>
      <c r="C36" t="s">
        <v>113</v>
      </c>
      <c r="D36" t="s">
        <v>37</v>
      </c>
      <c r="E36" s="1">
        <v>33576</v>
      </c>
      <c r="F36" s="1">
        <v>43071</v>
      </c>
      <c r="G36">
        <v>10</v>
      </c>
      <c r="H36" t="s">
        <v>87</v>
      </c>
      <c r="I36" t="s">
        <v>39</v>
      </c>
      <c r="J36" t="s">
        <v>21</v>
      </c>
      <c r="K36" t="s">
        <v>22</v>
      </c>
      <c r="L36">
        <v>12350</v>
      </c>
      <c r="M36" t="s">
        <v>32</v>
      </c>
      <c r="N36" s="1"/>
      <c r="O36" t="s">
        <v>33</v>
      </c>
      <c r="P36" t="s">
        <v>137</v>
      </c>
    </row>
    <row r="37" spans="1:16" x14ac:dyDescent="0.3">
      <c r="A37">
        <v>1389</v>
      </c>
      <c r="B37" t="s">
        <v>138</v>
      </c>
      <c r="C37" t="s">
        <v>126</v>
      </c>
      <c r="D37" t="s">
        <v>37</v>
      </c>
      <c r="E37" s="1">
        <v>34852</v>
      </c>
      <c r="F37" s="1">
        <v>42928</v>
      </c>
      <c r="G37">
        <v>60</v>
      </c>
      <c r="H37" t="s">
        <v>78</v>
      </c>
      <c r="I37" t="s">
        <v>30</v>
      </c>
      <c r="J37" t="s">
        <v>52</v>
      </c>
      <c r="K37" t="s">
        <v>22</v>
      </c>
      <c r="L37">
        <v>3900</v>
      </c>
      <c r="M37" t="s">
        <v>32</v>
      </c>
      <c r="N37" s="1"/>
      <c r="O37" t="s">
        <v>33</v>
      </c>
      <c r="P37" t="s">
        <v>139</v>
      </c>
    </row>
    <row r="38" spans="1:16" x14ac:dyDescent="0.3">
      <c r="A38">
        <v>1339</v>
      </c>
      <c r="B38" t="s">
        <v>26</v>
      </c>
      <c r="C38" t="s">
        <v>140</v>
      </c>
      <c r="D38" t="s">
        <v>37</v>
      </c>
      <c r="E38" s="1">
        <v>31256</v>
      </c>
      <c r="F38" s="1">
        <v>43593</v>
      </c>
      <c r="G38">
        <v>60</v>
      </c>
      <c r="H38" t="s">
        <v>78</v>
      </c>
      <c r="I38" t="s">
        <v>30</v>
      </c>
      <c r="J38" t="s">
        <v>52</v>
      </c>
      <c r="K38" t="s">
        <v>22</v>
      </c>
      <c r="L38">
        <v>4250</v>
      </c>
      <c r="M38" t="s">
        <v>32</v>
      </c>
      <c r="N38" s="1"/>
      <c r="O38" t="s">
        <v>33</v>
      </c>
      <c r="P38" t="s">
        <v>141</v>
      </c>
    </row>
    <row r="39" spans="1:16" x14ac:dyDescent="0.3">
      <c r="A39">
        <v>1229</v>
      </c>
      <c r="B39" t="s">
        <v>48</v>
      </c>
      <c r="C39" t="s">
        <v>81</v>
      </c>
      <c r="D39" t="s">
        <v>37</v>
      </c>
      <c r="E39" s="1">
        <v>27503</v>
      </c>
      <c r="F39" s="1">
        <v>43908</v>
      </c>
      <c r="G39">
        <v>50</v>
      </c>
      <c r="H39" t="s">
        <v>142</v>
      </c>
      <c r="I39" t="s">
        <v>20</v>
      </c>
      <c r="J39" t="s">
        <v>31</v>
      </c>
      <c r="K39" t="s">
        <v>22</v>
      </c>
      <c r="L39">
        <v>14050</v>
      </c>
      <c r="M39" t="s">
        <v>32</v>
      </c>
      <c r="N39" s="1"/>
      <c r="O39" t="s">
        <v>33</v>
      </c>
      <c r="P39" t="s">
        <v>143</v>
      </c>
    </row>
    <row r="40" spans="1:16" x14ac:dyDescent="0.3">
      <c r="A40">
        <v>1088</v>
      </c>
      <c r="B40" t="s">
        <v>89</v>
      </c>
      <c r="C40" t="s">
        <v>144</v>
      </c>
      <c r="D40" t="s">
        <v>37</v>
      </c>
      <c r="E40" s="1">
        <v>31743</v>
      </c>
      <c r="F40" s="1">
        <v>45600</v>
      </c>
      <c r="G40">
        <v>20</v>
      </c>
      <c r="H40" t="s">
        <v>60</v>
      </c>
      <c r="I40" t="s">
        <v>20</v>
      </c>
      <c r="J40" t="s">
        <v>52</v>
      </c>
      <c r="K40" t="s">
        <v>22</v>
      </c>
      <c r="L40">
        <v>9150</v>
      </c>
      <c r="M40" t="s">
        <v>32</v>
      </c>
      <c r="N40" s="1"/>
      <c r="O40" t="s">
        <v>33</v>
      </c>
      <c r="P40" t="s">
        <v>145</v>
      </c>
    </row>
    <row r="41" spans="1:16" x14ac:dyDescent="0.3">
      <c r="A41">
        <v>1117</v>
      </c>
      <c r="B41" t="s">
        <v>112</v>
      </c>
      <c r="C41" t="s">
        <v>65</v>
      </c>
      <c r="D41" t="s">
        <v>18</v>
      </c>
      <c r="E41" s="1">
        <v>34161</v>
      </c>
      <c r="F41" s="1">
        <v>42594</v>
      </c>
      <c r="G41">
        <v>10</v>
      </c>
      <c r="H41" t="s">
        <v>44</v>
      </c>
      <c r="I41" t="s">
        <v>45</v>
      </c>
      <c r="J41" t="s">
        <v>21</v>
      </c>
      <c r="K41" t="s">
        <v>22</v>
      </c>
      <c r="L41">
        <v>6500</v>
      </c>
      <c r="M41" t="s">
        <v>32</v>
      </c>
      <c r="N41" s="1"/>
      <c r="O41" t="s">
        <v>33</v>
      </c>
      <c r="P41" t="s">
        <v>146</v>
      </c>
    </row>
    <row r="42" spans="1:16" x14ac:dyDescent="0.3">
      <c r="A42">
        <v>1463</v>
      </c>
      <c r="B42" t="s">
        <v>147</v>
      </c>
      <c r="C42" t="s">
        <v>65</v>
      </c>
      <c r="D42" t="s">
        <v>148</v>
      </c>
      <c r="E42" s="1">
        <v>30359</v>
      </c>
      <c r="F42" s="1">
        <v>44724</v>
      </c>
      <c r="G42">
        <v>10</v>
      </c>
      <c r="H42" t="s">
        <v>108</v>
      </c>
      <c r="I42" t="s">
        <v>39</v>
      </c>
      <c r="J42" t="s">
        <v>21</v>
      </c>
      <c r="K42" t="s">
        <v>22</v>
      </c>
      <c r="L42">
        <v>12200</v>
      </c>
      <c r="M42" t="s">
        <v>32</v>
      </c>
      <c r="N42" s="1"/>
      <c r="O42" t="s">
        <v>33</v>
      </c>
      <c r="P42" t="s">
        <v>149</v>
      </c>
    </row>
    <row r="43" spans="1:16" x14ac:dyDescent="0.3">
      <c r="A43">
        <v>1408</v>
      </c>
      <c r="B43" t="s">
        <v>150</v>
      </c>
      <c r="C43" t="s">
        <v>151</v>
      </c>
      <c r="D43" t="s">
        <v>37</v>
      </c>
      <c r="E43" s="1">
        <v>35025</v>
      </c>
      <c r="F43" s="1">
        <v>44547</v>
      </c>
      <c r="G43">
        <v>50</v>
      </c>
      <c r="H43" t="s">
        <v>71</v>
      </c>
      <c r="I43" t="s">
        <v>45</v>
      </c>
      <c r="J43" t="s">
        <v>21</v>
      </c>
      <c r="K43" t="s">
        <v>22</v>
      </c>
      <c r="L43">
        <v>4750</v>
      </c>
      <c r="M43" t="s">
        <v>23</v>
      </c>
      <c r="N43" s="1">
        <v>44900</v>
      </c>
      <c r="O43" t="s">
        <v>152</v>
      </c>
      <c r="P43" t="s">
        <v>153</v>
      </c>
    </row>
    <row r="44" spans="1:16" x14ac:dyDescent="0.3">
      <c r="A44">
        <v>1394</v>
      </c>
      <c r="B44" t="s">
        <v>112</v>
      </c>
      <c r="C44" t="s">
        <v>131</v>
      </c>
      <c r="D44" t="s">
        <v>18</v>
      </c>
      <c r="E44" s="1">
        <v>32625</v>
      </c>
      <c r="F44" s="1">
        <v>44159</v>
      </c>
      <c r="G44">
        <v>20</v>
      </c>
      <c r="H44" t="s">
        <v>104</v>
      </c>
      <c r="I44" t="s">
        <v>39</v>
      </c>
      <c r="J44" t="s">
        <v>21</v>
      </c>
      <c r="K44" t="s">
        <v>22</v>
      </c>
      <c r="L44">
        <v>8300</v>
      </c>
      <c r="M44" t="s">
        <v>32</v>
      </c>
      <c r="N44" s="1"/>
      <c r="O44" t="s">
        <v>33</v>
      </c>
      <c r="P44" t="s">
        <v>154</v>
      </c>
    </row>
    <row r="45" spans="1:16" x14ac:dyDescent="0.3">
      <c r="A45">
        <v>1154</v>
      </c>
      <c r="B45" t="s">
        <v>54</v>
      </c>
      <c r="C45" t="s">
        <v>155</v>
      </c>
      <c r="D45" t="s">
        <v>37</v>
      </c>
      <c r="E45" s="1">
        <v>34869</v>
      </c>
      <c r="F45" s="1">
        <v>42920</v>
      </c>
      <c r="G45">
        <v>70</v>
      </c>
      <c r="H45" t="s">
        <v>38</v>
      </c>
      <c r="I45" t="s">
        <v>30</v>
      </c>
      <c r="J45" t="s">
        <v>31</v>
      </c>
      <c r="K45" t="s">
        <v>22</v>
      </c>
      <c r="L45">
        <v>5950</v>
      </c>
      <c r="M45" t="s">
        <v>32</v>
      </c>
      <c r="N45" s="1"/>
      <c r="O45" t="s">
        <v>33</v>
      </c>
      <c r="P45" t="s">
        <v>156</v>
      </c>
    </row>
    <row r="46" spans="1:16" x14ac:dyDescent="0.3">
      <c r="A46">
        <v>1138</v>
      </c>
      <c r="B46" t="s">
        <v>157</v>
      </c>
      <c r="C46" t="s">
        <v>158</v>
      </c>
      <c r="D46" t="s">
        <v>37</v>
      </c>
      <c r="E46" s="1">
        <v>30835</v>
      </c>
      <c r="F46" s="1">
        <v>43616</v>
      </c>
      <c r="G46">
        <v>80</v>
      </c>
      <c r="H46" t="s">
        <v>159</v>
      </c>
      <c r="I46" t="s">
        <v>30</v>
      </c>
      <c r="J46" t="s">
        <v>21</v>
      </c>
      <c r="K46" t="s">
        <v>40</v>
      </c>
      <c r="L46">
        <v>7450</v>
      </c>
      <c r="M46" t="s">
        <v>32</v>
      </c>
      <c r="N46" s="1"/>
      <c r="O46" t="s">
        <v>33</v>
      </c>
      <c r="P46" t="s">
        <v>160</v>
      </c>
    </row>
    <row r="47" spans="1:16" x14ac:dyDescent="0.3">
      <c r="A47">
        <v>1128</v>
      </c>
      <c r="B47" t="s">
        <v>161</v>
      </c>
      <c r="C47" t="s">
        <v>119</v>
      </c>
      <c r="D47" t="s">
        <v>18</v>
      </c>
      <c r="E47" s="1">
        <v>34643</v>
      </c>
      <c r="F47" s="1">
        <v>45891</v>
      </c>
      <c r="G47">
        <v>70</v>
      </c>
      <c r="H47" t="s">
        <v>116</v>
      </c>
      <c r="I47" t="s">
        <v>39</v>
      </c>
      <c r="J47" t="s">
        <v>31</v>
      </c>
      <c r="K47" t="s">
        <v>22</v>
      </c>
      <c r="L47">
        <v>-7500</v>
      </c>
      <c r="M47" t="s">
        <v>32</v>
      </c>
      <c r="N47" s="1"/>
      <c r="O47" t="s">
        <v>33</v>
      </c>
      <c r="P47" t="s">
        <v>162</v>
      </c>
    </row>
    <row r="48" spans="1:16" x14ac:dyDescent="0.3">
      <c r="A48">
        <v>1197</v>
      </c>
      <c r="B48" t="s">
        <v>73</v>
      </c>
      <c r="C48" t="s">
        <v>163</v>
      </c>
      <c r="D48" t="s">
        <v>18</v>
      </c>
      <c r="E48" s="1">
        <v>31159</v>
      </c>
      <c r="F48" s="1">
        <v>45364</v>
      </c>
      <c r="G48">
        <v>10</v>
      </c>
      <c r="H48" t="s">
        <v>87</v>
      </c>
      <c r="I48" t="s">
        <v>30</v>
      </c>
      <c r="J48" t="s">
        <v>46</v>
      </c>
      <c r="K48" t="s">
        <v>22</v>
      </c>
      <c r="L48">
        <v>8500</v>
      </c>
      <c r="M48" t="s">
        <v>32</v>
      </c>
      <c r="N48" s="1"/>
      <c r="O48" t="s">
        <v>33</v>
      </c>
      <c r="P48" t="s">
        <v>33</v>
      </c>
    </row>
    <row r="49" spans="1:16" x14ac:dyDescent="0.3">
      <c r="A49">
        <v>1127</v>
      </c>
      <c r="B49" t="s">
        <v>164</v>
      </c>
      <c r="C49" t="s">
        <v>144</v>
      </c>
      <c r="D49" t="s">
        <v>37</v>
      </c>
      <c r="E49" s="1">
        <v>34134</v>
      </c>
      <c r="F49" s="1">
        <v>44425</v>
      </c>
      <c r="G49">
        <v>10</v>
      </c>
      <c r="H49" t="s">
        <v>44</v>
      </c>
      <c r="I49" t="s">
        <v>45</v>
      </c>
      <c r="J49" t="s">
        <v>165</v>
      </c>
      <c r="K49" t="s">
        <v>22</v>
      </c>
      <c r="L49">
        <v>6650</v>
      </c>
      <c r="M49" t="s">
        <v>32</v>
      </c>
      <c r="N49" s="1"/>
      <c r="O49" t="s">
        <v>33</v>
      </c>
      <c r="P49" t="s">
        <v>166</v>
      </c>
    </row>
    <row r="50" spans="1:16" x14ac:dyDescent="0.3">
      <c r="A50">
        <v>1162</v>
      </c>
      <c r="B50" t="s">
        <v>125</v>
      </c>
      <c r="C50" t="s">
        <v>36</v>
      </c>
      <c r="D50" t="s">
        <v>37</v>
      </c>
      <c r="E50" s="1">
        <v>31995</v>
      </c>
      <c r="F50" s="1">
        <v>43950</v>
      </c>
      <c r="G50">
        <v>70</v>
      </c>
      <c r="H50" t="s">
        <v>75</v>
      </c>
      <c r="I50" t="s">
        <v>20</v>
      </c>
      <c r="J50" t="s">
        <v>31</v>
      </c>
      <c r="K50" t="s">
        <v>22</v>
      </c>
      <c r="L50">
        <v>10050</v>
      </c>
      <c r="M50" t="s">
        <v>23</v>
      </c>
      <c r="N50" s="1">
        <v>44269</v>
      </c>
      <c r="O50" t="s">
        <v>105</v>
      </c>
      <c r="P50" t="s">
        <v>167</v>
      </c>
    </row>
    <row r="51" spans="1:16" x14ac:dyDescent="0.3">
      <c r="A51">
        <v>1215</v>
      </c>
      <c r="B51" t="s">
        <v>42</v>
      </c>
      <c r="C51" t="s">
        <v>107</v>
      </c>
      <c r="D51" t="s">
        <v>37</v>
      </c>
      <c r="E51" s="1">
        <v>35282</v>
      </c>
      <c r="F51" s="1">
        <v>44952</v>
      </c>
      <c r="G51">
        <v>70</v>
      </c>
      <c r="H51" t="s">
        <v>38</v>
      </c>
      <c r="I51" t="s">
        <v>39</v>
      </c>
      <c r="J51" t="s">
        <v>31</v>
      </c>
      <c r="K51" t="s">
        <v>22</v>
      </c>
      <c r="L51">
        <v>9150</v>
      </c>
      <c r="M51" t="s">
        <v>32</v>
      </c>
      <c r="N51" s="1"/>
      <c r="O51" t="s">
        <v>33</v>
      </c>
      <c r="P51" t="s">
        <v>168</v>
      </c>
    </row>
    <row r="52" spans="1:16" x14ac:dyDescent="0.3">
      <c r="A52">
        <v>1230</v>
      </c>
      <c r="B52" t="s">
        <v>147</v>
      </c>
      <c r="C52" t="s">
        <v>119</v>
      </c>
      <c r="D52" t="s">
        <v>18</v>
      </c>
      <c r="E52" s="1">
        <v>32591</v>
      </c>
      <c r="F52" s="1">
        <v>44305</v>
      </c>
      <c r="G52">
        <v>20</v>
      </c>
      <c r="H52" t="s">
        <v>104</v>
      </c>
      <c r="I52" t="s">
        <v>30</v>
      </c>
      <c r="J52" t="s">
        <v>169</v>
      </c>
      <c r="K52" t="s">
        <v>22</v>
      </c>
      <c r="L52">
        <v>5650</v>
      </c>
      <c r="M52" t="s">
        <v>32</v>
      </c>
      <c r="N52" s="1"/>
      <c r="O52" t="s">
        <v>33</v>
      </c>
      <c r="P52" t="s">
        <v>170</v>
      </c>
    </row>
    <row r="53" spans="1:16" x14ac:dyDescent="0.3">
      <c r="A53">
        <v>1352</v>
      </c>
      <c r="B53" t="s">
        <v>92</v>
      </c>
      <c r="C53" t="s">
        <v>171</v>
      </c>
      <c r="D53" t="s">
        <v>18</v>
      </c>
      <c r="E53" s="1">
        <v>33491</v>
      </c>
      <c r="F53" s="1">
        <v>44382</v>
      </c>
      <c r="G53">
        <v>10</v>
      </c>
      <c r="H53" t="s">
        <v>108</v>
      </c>
      <c r="I53" t="s">
        <v>45</v>
      </c>
      <c r="J53" t="s">
        <v>21</v>
      </c>
      <c r="K53" t="s">
        <v>22</v>
      </c>
      <c r="L53">
        <v>6250</v>
      </c>
      <c r="M53" t="s">
        <v>32</v>
      </c>
      <c r="N53" s="1"/>
      <c r="O53" t="s">
        <v>33</v>
      </c>
      <c r="P53" t="s">
        <v>172</v>
      </c>
    </row>
    <row r="54" spans="1:16" x14ac:dyDescent="0.3">
      <c r="A54">
        <v>1335</v>
      </c>
      <c r="B54" t="s">
        <v>157</v>
      </c>
      <c r="C54" t="s">
        <v>171</v>
      </c>
      <c r="D54" t="s">
        <v>18</v>
      </c>
      <c r="E54" s="1">
        <v>31004</v>
      </c>
      <c r="F54" s="1">
        <v>44066</v>
      </c>
      <c r="G54">
        <v>40</v>
      </c>
      <c r="H54" t="s">
        <v>120</v>
      </c>
      <c r="I54" t="s">
        <v>39</v>
      </c>
      <c r="J54" t="s">
        <v>165</v>
      </c>
      <c r="K54" t="s">
        <v>22</v>
      </c>
      <c r="L54">
        <v>8150</v>
      </c>
      <c r="M54" t="s">
        <v>32</v>
      </c>
      <c r="N54" s="1"/>
      <c r="O54" t="s">
        <v>33</v>
      </c>
      <c r="P54" t="s">
        <v>173</v>
      </c>
    </row>
    <row r="55" spans="1:16" x14ac:dyDescent="0.3">
      <c r="A55">
        <v>1017</v>
      </c>
      <c r="B55" t="s">
        <v>134</v>
      </c>
      <c r="C55" t="s">
        <v>74</v>
      </c>
      <c r="D55" t="s">
        <v>174</v>
      </c>
      <c r="E55" s="1">
        <v>34001</v>
      </c>
      <c r="F55" s="1">
        <v>42419</v>
      </c>
      <c r="G55">
        <v>10</v>
      </c>
      <c r="H55" t="s">
        <v>108</v>
      </c>
      <c r="I55" t="s">
        <v>45</v>
      </c>
      <c r="J55" t="s">
        <v>21</v>
      </c>
      <c r="K55" t="s">
        <v>22</v>
      </c>
      <c r="L55">
        <v>4850</v>
      </c>
      <c r="M55" t="s">
        <v>32</v>
      </c>
      <c r="N55" s="1"/>
      <c r="O55" t="s">
        <v>33</v>
      </c>
      <c r="P55" t="s">
        <v>175</v>
      </c>
    </row>
    <row r="56" spans="1:16" x14ac:dyDescent="0.3">
      <c r="A56">
        <v>1015</v>
      </c>
      <c r="B56" t="s">
        <v>35</v>
      </c>
      <c r="C56" t="s">
        <v>43</v>
      </c>
      <c r="D56" t="s">
        <v>37</v>
      </c>
      <c r="E56" s="1">
        <v>27114</v>
      </c>
      <c r="F56" s="1">
        <v>45363</v>
      </c>
      <c r="G56">
        <v>70</v>
      </c>
      <c r="H56" t="s">
        <v>38</v>
      </c>
      <c r="I56" t="s">
        <v>39</v>
      </c>
      <c r="J56" t="s">
        <v>31</v>
      </c>
      <c r="K56" t="s">
        <v>40</v>
      </c>
      <c r="L56">
        <v>7750</v>
      </c>
      <c r="M56" t="s">
        <v>23</v>
      </c>
      <c r="N56" s="1">
        <v>45872</v>
      </c>
      <c r="O56" t="s">
        <v>105</v>
      </c>
      <c r="P56" t="s">
        <v>176</v>
      </c>
    </row>
    <row r="57" spans="1:16" x14ac:dyDescent="0.3">
      <c r="A57">
        <v>1041</v>
      </c>
      <c r="B57" t="s">
        <v>94</v>
      </c>
      <c r="C57" t="s">
        <v>65</v>
      </c>
      <c r="D57" t="s">
        <v>18</v>
      </c>
      <c r="E57" s="1">
        <v>31890</v>
      </c>
      <c r="F57" s="1">
        <v>44966</v>
      </c>
      <c r="G57">
        <v>70</v>
      </c>
      <c r="H57" t="s">
        <v>38</v>
      </c>
      <c r="I57" t="s">
        <v>30</v>
      </c>
      <c r="J57" t="s">
        <v>21</v>
      </c>
      <c r="K57" t="s">
        <v>22</v>
      </c>
      <c r="L57">
        <v>5250</v>
      </c>
      <c r="M57" t="s">
        <v>23</v>
      </c>
      <c r="N57" s="1">
        <v>45131</v>
      </c>
      <c r="O57" t="s">
        <v>117</v>
      </c>
      <c r="P57" t="s">
        <v>177</v>
      </c>
    </row>
    <row r="58" spans="1:16" x14ac:dyDescent="0.3">
      <c r="A58">
        <v>1113</v>
      </c>
      <c r="B58" t="s">
        <v>70</v>
      </c>
      <c r="C58" t="s">
        <v>178</v>
      </c>
      <c r="D58" t="s">
        <v>18</v>
      </c>
      <c r="E58" s="1">
        <v>34227</v>
      </c>
      <c r="F58" s="1">
        <v>45686</v>
      </c>
      <c r="G58">
        <v>10</v>
      </c>
      <c r="H58" t="s">
        <v>108</v>
      </c>
      <c r="I58" t="s">
        <v>39</v>
      </c>
      <c r="J58" t="s">
        <v>21</v>
      </c>
      <c r="K58" t="s">
        <v>22</v>
      </c>
      <c r="L58">
        <v>12000</v>
      </c>
      <c r="M58" t="s">
        <v>32</v>
      </c>
      <c r="N58" s="1"/>
      <c r="O58" t="s">
        <v>33</v>
      </c>
      <c r="P58" t="s">
        <v>179</v>
      </c>
    </row>
    <row r="59" spans="1:16" x14ac:dyDescent="0.3">
      <c r="A59">
        <v>1052</v>
      </c>
      <c r="B59" t="s">
        <v>180</v>
      </c>
      <c r="C59" t="s">
        <v>131</v>
      </c>
      <c r="D59" t="s">
        <v>18</v>
      </c>
      <c r="E59" s="1">
        <v>28745</v>
      </c>
      <c r="F59" s="1">
        <v>45108</v>
      </c>
      <c r="G59">
        <v>60</v>
      </c>
      <c r="H59" t="s">
        <v>29</v>
      </c>
      <c r="I59" t="s">
        <v>39</v>
      </c>
      <c r="J59" t="s">
        <v>52</v>
      </c>
      <c r="K59" t="s">
        <v>22</v>
      </c>
      <c r="L59">
        <v>6050</v>
      </c>
      <c r="M59" t="s">
        <v>32</v>
      </c>
      <c r="N59" s="1"/>
      <c r="O59" t="s">
        <v>33</v>
      </c>
      <c r="P59" t="s">
        <v>181</v>
      </c>
    </row>
    <row r="60" spans="1:16" x14ac:dyDescent="0.3">
      <c r="A60">
        <v>1211</v>
      </c>
      <c r="B60" t="s">
        <v>100</v>
      </c>
      <c r="C60" t="s">
        <v>98</v>
      </c>
      <c r="D60" t="s">
        <v>37</v>
      </c>
      <c r="E60" s="1">
        <v>31948</v>
      </c>
      <c r="F60" s="1">
        <v>43825</v>
      </c>
      <c r="G60">
        <v>80</v>
      </c>
      <c r="H60" t="s">
        <v>159</v>
      </c>
      <c r="I60" t="s">
        <v>30</v>
      </c>
      <c r="J60" t="s">
        <v>21</v>
      </c>
      <c r="K60" t="s">
        <v>22</v>
      </c>
      <c r="L60">
        <v>7600</v>
      </c>
      <c r="M60" t="s">
        <v>32</v>
      </c>
      <c r="N60" s="1"/>
      <c r="O60" t="s">
        <v>33</v>
      </c>
      <c r="P60" t="s">
        <v>182</v>
      </c>
    </row>
    <row r="61" spans="1:16" x14ac:dyDescent="0.3">
      <c r="A61">
        <v>1447</v>
      </c>
      <c r="B61" t="s">
        <v>94</v>
      </c>
      <c r="C61" t="s">
        <v>171</v>
      </c>
      <c r="D61" t="s">
        <v>18</v>
      </c>
      <c r="E61" s="1">
        <v>30051</v>
      </c>
      <c r="F61" s="1">
        <v>44271</v>
      </c>
      <c r="G61">
        <v>10</v>
      </c>
      <c r="H61" t="s">
        <v>108</v>
      </c>
      <c r="I61" t="s">
        <v>30</v>
      </c>
      <c r="J61" t="s">
        <v>21</v>
      </c>
      <c r="K61" t="s">
        <v>22</v>
      </c>
      <c r="L61">
        <v>7650</v>
      </c>
      <c r="M61" t="s">
        <v>32</v>
      </c>
      <c r="N61" s="1"/>
      <c r="O61" t="s">
        <v>33</v>
      </c>
      <c r="P61" t="s">
        <v>183</v>
      </c>
    </row>
    <row r="62" spans="1:16" x14ac:dyDescent="0.3">
      <c r="A62">
        <v>1044</v>
      </c>
      <c r="B62" t="s">
        <v>157</v>
      </c>
      <c r="C62" t="s">
        <v>184</v>
      </c>
      <c r="D62" t="s">
        <v>37</v>
      </c>
      <c r="E62" s="1">
        <v>28171</v>
      </c>
      <c r="F62" s="1">
        <v>45340</v>
      </c>
      <c r="G62">
        <v>50</v>
      </c>
      <c r="H62" t="s">
        <v>142</v>
      </c>
      <c r="I62" t="s">
        <v>20</v>
      </c>
      <c r="J62" t="s">
        <v>52</v>
      </c>
      <c r="K62" t="s">
        <v>22</v>
      </c>
      <c r="L62">
        <v>12350</v>
      </c>
      <c r="M62" t="s">
        <v>32</v>
      </c>
      <c r="N62" s="1"/>
      <c r="O62" t="s">
        <v>33</v>
      </c>
      <c r="P62" t="s">
        <v>185</v>
      </c>
    </row>
    <row r="63" spans="1:16" x14ac:dyDescent="0.3">
      <c r="A63">
        <v>1291</v>
      </c>
      <c r="B63" t="s">
        <v>147</v>
      </c>
      <c r="C63" t="s">
        <v>27</v>
      </c>
      <c r="D63" t="s">
        <v>37</v>
      </c>
      <c r="E63" s="1">
        <v>29877</v>
      </c>
      <c r="F63" s="1">
        <v>42630</v>
      </c>
      <c r="G63">
        <v>60</v>
      </c>
      <c r="H63" t="s">
        <v>29</v>
      </c>
      <c r="I63" t="s">
        <v>39</v>
      </c>
      <c r="J63" t="s">
        <v>52</v>
      </c>
      <c r="K63" t="s">
        <v>22</v>
      </c>
      <c r="L63">
        <v>6900</v>
      </c>
      <c r="M63" t="s">
        <v>23</v>
      </c>
      <c r="N63" s="1">
        <v>44046</v>
      </c>
      <c r="O63" t="s">
        <v>186</v>
      </c>
      <c r="P63" t="s">
        <v>187</v>
      </c>
    </row>
    <row r="64" spans="1:16" x14ac:dyDescent="0.3">
      <c r="A64">
        <v>1287</v>
      </c>
      <c r="B64" t="s">
        <v>188</v>
      </c>
      <c r="C64" t="s">
        <v>107</v>
      </c>
      <c r="D64" t="s">
        <v>37</v>
      </c>
      <c r="E64" s="1">
        <v>33974</v>
      </c>
      <c r="F64" s="1">
        <v>42462</v>
      </c>
      <c r="G64">
        <v>10</v>
      </c>
      <c r="H64" t="s">
        <v>87</v>
      </c>
      <c r="I64" t="s">
        <v>45</v>
      </c>
      <c r="J64" t="s">
        <v>21</v>
      </c>
      <c r="K64" t="s">
        <v>22</v>
      </c>
      <c r="L64">
        <v>7500</v>
      </c>
      <c r="M64" t="s">
        <v>32</v>
      </c>
      <c r="N64" s="1"/>
      <c r="O64" t="s">
        <v>33</v>
      </c>
      <c r="P64" t="s">
        <v>189</v>
      </c>
    </row>
    <row r="65" spans="1:16" x14ac:dyDescent="0.3">
      <c r="A65">
        <v>1329</v>
      </c>
      <c r="B65" t="s">
        <v>89</v>
      </c>
      <c r="C65" t="s">
        <v>107</v>
      </c>
      <c r="D65" t="s">
        <v>37</v>
      </c>
      <c r="E65" s="1">
        <v>32818</v>
      </c>
      <c r="F65" s="1">
        <v>43958</v>
      </c>
      <c r="G65">
        <v>50</v>
      </c>
      <c r="H65" t="s">
        <v>123</v>
      </c>
      <c r="I65" t="s">
        <v>39</v>
      </c>
      <c r="J65" t="s">
        <v>52</v>
      </c>
      <c r="K65" t="s">
        <v>22</v>
      </c>
      <c r="L65">
        <v>9400</v>
      </c>
      <c r="M65" t="s">
        <v>23</v>
      </c>
      <c r="N65" s="1">
        <v>44626</v>
      </c>
      <c r="O65" t="s">
        <v>33</v>
      </c>
      <c r="P65" t="s">
        <v>190</v>
      </c>
    </row>
    <row r="66" spans="1:16" x14ac:dyDescent="0.3">
      <c r="A66">
        <v>1244</v>
      </c>
      <c r="B66" t="s">
        <v>92</v>
      </c>
      <c r="C66" t="s">
        <v>36</v>
      </c>
      <c r="D66" t="s">
        <v>37</v>
      </c>
      <c r="E66" s="1">
        <v>29448</v>
      </c>
      <c r="F66" s="1">
        <v>42669</v>
      </c>
      <c r="G66">
        <v>60</v>
      </c>
      <c r="H66" t="s">
        <v>29</v>
      </c>
      <c r="I66" t="s">
        <v>39</v>
      </c>
      <c r="J66" t="s">
        <v>191</v>
      </c>
      <c r="K66" t="s">
        <v>40</v>
      </c>
      <c r="L66">
        <v>6850</v>
      </c>
      <c r="M66" t="s">
        <v>23</v>
      </c>
      <c r="N66" s="1">
        <v>43120</v>
      </c>
      <c r="O66" t="s">
        <v>62</v>
      </c>
      <c r="P66" t="s">
        <v>192</v>
      </c>
    </row>
    <row r="67" spans="1:16" x14ac:dyDescent="0.3">
      <c r="A67">
        <v>1194</v>
      </c>
      <c r="B67" t="s">
        <v>134</v>
      </c>
      <c r="C67" t="s">
        <v>27</v>
      </c>
      <c r="D67" t="s">
        <v>37</v>
      </c>
      <c r="E67" s="1">
        <v>31421</v>
      </c>
      <c r="F67" s="1">
        <v>45046</v>
      </c>
      <c r="G67">
        <v>50</v>
      </c>
      <c r="H67" t="s">
        <v>123</v>
      </c>
      <c r="I67" t="s">
        <v>30</v>
      </c>
      <c r="J67" t="s">
        <v>52</v>
      </c>
      <c r="K67" t="s">
        <v>22</v>
      </c>
      <c r="L67">
        <v>6150</v>
      </c>
      <c r="M67" t="s">
        <v>32</v>
      </c>
      <c r="N67" s="1"/>
      <c r="O67" t="s">
        <v>33</v>
      </c>
      <c r="P67" t="s">
        <v>193</v>
      </c>
    </row>
    <row r="68" spans="1:16" x14ac:dyDescent="0.3">
      <c r="A68">
        <v>1067</v>
      </c>
      <c r="B68" t="s">
        <v>64</v>
      </c>
      <c r="C68" t="s">
        <v>194</v>
      </c>
      <c r="D68" t="s">
        <v>37</v>
      </c>
      <c r="E68" s="1">
        <v>35305</v>
      </c>
      <c r="F68" s="1">
        <v>44474</v>
      </c>
      <c r="G68">
        <v>10</v>
      </c>
      <c r="H68" t="s">
        <v>44</v>
      </c>
      <c r="I68" t="s">
        <v>45</v>
      </c>
      <c r="J68" t="s">
        <v>21</v>
      </c>
      <c r="K68" t="s">
        <v>22</v>
      </c>
      <c r="L68">
        <v>6200</v>
      </c>
      <c r="M68" t="s">
        <v>32</v>
      </c>
      <c r="N68" s="1"/>
      <c r="O68" t="s">
        <v>33</v>
      </c>
      <c r="P68" t="s">
        <v>195</v>
      </c>
    </row>
    <row r="69" spans="1:16" x14ac:dyDescent="0.3">
      <c r="A69">
        <v>1205</v>
      </c>
      <c r="B69" t="s">
        <v>180</v>
      </c>
      <c r="C69" t="s">
        <v>36</v>
      </c>
      <c r="D69" t="s">
        <v>37</v>
      </c>
      <c r="E69" s="1">
        <v>29527</v>
      </c>
      <c r="F69" s="1">
        <v>45599</v>
      </c>
      <c r="G69">
        <v>60</v>
      </c>
      <c r="H69" t="s">
        <v>78</v>
      </c>
      <c r="I69" t="s">
        <v>45</v>
      </c>
      <c r="J69" t="s">
        <v>46</v>
      </c>
      <c r="K69" t="s">
        <v>22</v>
      </c>
      <c r="L69">
        <v>2650</v>
      </c>
      <c r="M69" t="s">
        <v>32</v>
      </c>
      <c r="N69" s="1"/>
      <c r="O69" t="s">
        <v>33</v>
      </c>
      <c r="P69" t="s">
        <v>196</v>
      </c>
    </row>
    <row r="70" spans="1:16" x14ac:dyDescent="0.3">
      <c r="A70">
        <v>1270</v>
      </c>
      <c r="B70" t="s">
        <v>92</v>
      </c>
      <c r="C70" t="s">
        <v>131</v>
      </c>
      <c r="D70" t="s">
        <v>18</v>
      </c>
      <c r="E70" s="1">
        <v>31467</v>
      </c>
      <c r="F70" s="1">
        <v>45668</v>
      </c>
      <c r="G70">
        <v>60</v>
      </c>
      <c r="H70" t="s">
        <v>78</v>
      </c>
      <c r="I70" t="s">
        <v>39</v>
      </c>
      <c r="J70" t="s">
        <v>52</v>
      </c>
      <c r="K70" t="s">
        <v>22</v>
      </c>
      <c r="L70">
        <v>5900</v>
      </c>
      <c r="M70" t="s">
        <v>23</v>
      </c>
      <c r="N70" s="1">
        <v>45876</v>
      </c>
      <c r="O70" t="s">
        <v>117</v>
      </c>
      <c r="P70" t="s">
        <v>197</v>
      </c>
    </row>
    <row r="71" spans="1:16" x14ac:dyDescent="0.3">
      <c r="A71">
        <v>1440</v>
      </c>
      <c r="B71" t="s">
        <v>112</v>
      </c>
      <c r="C71" t="s">
        <v>198</v>
      </c>
      <c r="D71" t="s">
        <v>18</v>
      </c>
      <c r="E71" s="1">
        <v>28501</v>
      </c>
      <c r="F71" s="1">
        <v>42889</v>
      </c>
      <c r="G71">
        <v>70</v>
      </c>
      <c r="H71" t="s">
        <v>75</v>
      </c>
      <c r="I71" t="s">
        <v>20</v>
      </c>
      <c r="J71" t="s">
        <v>21</v>
      </c>
      <c r="K71" t="s">
        <v>40</v>
      </c>
      <c r="L71">
        <v>11300</v>
      </c>
      <c r="M71" t="s">
        <v>32</v>
      </c>
      <c r="N71" s="1"/>
      <c r="O71" t="s">
        <v>33</v>
      </c>
      <c r="P71" t="s">
        <v>199</v>
      </c>
    </row>
    <row r="72" spans="1:16" x14ac:dyDescent="0.3">
      <c r="A72">
        <v>1306</v>
      </c>
      <c r="B72" t="s">
        <v>89</v>
      </c>
      <c r="C72" t="s">
        <v>200</v>
      </c>
      <c r="D72" t="s">
        <v>18</v>
      </c>
      <c r="E72" s="1">
        <v>28272</v>
      </c>
      <c r="F72" s="1">
        <v>44691</v>
      </c>
      <c r="G72">
        <v>60</v>
      </c>
      <c r="H72" t="s">
        <v>78</v>
      </c>
      <c r="I72" t="s">
        <v>30</v>
      </c>
      <c r="J72" t="s">
        <v>52</v>
      </c>
      <c r="K72" t="s">
        <v>40</v>
      </c>
      <c r="L72">
        <v>4200</v>
      </c>
      <c r="M72" t="s">
        <v>32</v>
      </c>
      <c r="N72" s="1"/>
      <c r="O72" t="s">
        <v>33</v>
      </c>
      <c r="P72" t="s">
        <v>201</v>
      </c>
    </row>
    <row r="73" spans="1:16" x14ac:dyDescent="0.3">
      <c r="A73">
        <v>1016</v>
      </c>
      <c r="B73" t="s">
        <v>26</v>
      </c>
      <c r="C73" t="s">
        <v>200</v>
      </c>
      <c r="D73" t="s">
        <v>174</v>
      </c>
      <c r="E73" s="1">
        <v>30991</v>
      </c>
      <c r="F73" s="1">
        <v>42609</v>
      </c>
      <c r="G73">
        <v>20</v>
      </c>
      <c r="H73" t="s">
        <v>68</v>
      </c>
      <c r="I73" t="s">
        <v>45</v>
      </c>
      <c r="J73" t="s">
        <v>21</v>
      </c>
      <c r="K73" t="s">
        <v>22</v>
      </c>
      <c r="L73">
        <v>3600</v>
      </c>
      <c r="M73" t="s">
        <v>32</v>
      </c>
      <c r="N73" s="1"/>
      <c r="O73" t="s">
        <v>33</v>
      </c>
      <c r="P73" t="s">
        <v>202</v>
      </c>
    </row>
    <row r="74" spans="1:16" x14ac:dyDescent="0.3">
      <c r="A74">
        <v>1140</v>
      </c>
      <c r="B74" t="s">
        <v>64</v>
      </c>
      <c r="C74" t="s">
        <v>107</v>
      </c>
      <c r="D74" t="s">
        <v>37</v>
      </c>
      <c r="E74" s="1">
        <v>28514</v>
      </c>
      <c r="F74" s="1">
        <v>43602</v>
      </c>
      <c r="G74">
        <v>10</v>
      </c>
      <c r="H74" t="s">
        <v>44</v>
      </c>
      <c r="I74" t="s">
        <v>39</v>
      </c>
      <c r="J74" t="s">
        <v>21</v>
      </c>
      <c r="K74" t="s">
        <v>22</v>
      </c>
      <c r="L74">
        <v>14200</v>
      </c>
      <c r="M74" t="s">
        <v>23</v>
      </c>
      <c r="N74" s="1">
        <v>44615</v>
      </c>
      <c r="O74" t="s">
        <v>24</v>
      </c>
      <c r="P74" t="s">
        <v>203</v>
      </c>
    </row>
    <row r="75" spans="1:16" x14ac:dyDescent="0.3">
      <c r="A75">
        <v>1102</v>
      </c>
      <c r="B75" t="s">
        <v>204</v>
      </c>
      <c r="C75" t="s">
        <v>110</v>
      </c>
      <c r="D75" t="s">
        <v>37</v>
      </c>
      <c r="E75" s="1">
        <v>28018</v>
      </c>
      <c r="F75" s="1">
        <v>42736</v>
      </c>
      <c r="G75">
        <v>70</v>
      </c>
      <c r="H75" t="s">
        <v>38</v>
      </c>
      <c r="I75" t="s">
        <v>39</v>
      </c>
      <c r="J75" t="s">
        <v>31</v>
      </c>
      <c r="K75" t="s">
        <v>22</v>
      </c>
      <c r="L75">
        <v>8150</v>
      </c>
      <c r="M75" t="s">
        <v>32</v>
      </c>
      <c r="N75" s="1"/>
      <c r="O75" t="s">
        <v>33</v>
      </c>
      <c r="P75" t="s">
        <v>205</v>
      </c>
    </row>
    <row r="76" spans="1:16" x14ac:dyDescent="0.3">
      <c r="A76">
        <v>1131</v>
      </c>
      <c r="B76" t="s">
        <v>164</v>
      </c>
      <c r="C76" t="s">
        <v>206</v>
      </c>
      <c r="D76" t="s">
        <v>148</v>
      </c>
      <c r="E76" s="1">
        <v>33065</v>
      </c>
      <c r="F76" s="1">
        <v>43124</v>
      </c>
      <c r="G76">
        <v>70</v>
      </c>
      <c r="H76" t="s">
        <v>38</v>
      </c>
      <c r="I76" t="s">
        <v>45</v>
      </c>
      <c r="J76" t="s">
        <v>31</v>
      </c>
      <c r="K76" t="s">
        <v>22</v>
      </c>
      <c r="L76">
        <v>3650</v>
      </c>
      <c r="M76" t="s">
        <v>32</v>
      </c>
      <c r="N76" s="1"/>
      <c r="O76" t="s">
        <v>33</v>
      </c>
      <c r="P76" t="s">
        <v>207</v>
      </c>
    </row>
    <row r="77" spans="1:16" x14ac:dyDescent="0.3">
      <c r="A77">
        <v>1359</v>
      </c>
      <c r="B77" t="s">
        <v>150</v>
      </c>
      <c r="C77" t="s">
        <v>163</v>
      </c>
      <c r="D77" t="s">
        <v>18</v>
      </c>
      <c r="E77" s="1">
        <v>35457</v>
      </c>
      <c r="F77" s="1">
        <v>42858</v>
      </c>
      <c r="G77">
        <v>10</v>
      </c>
      <c r="H77" t="s">
        <v>87</v>
      </c>
      <c r="I77" t="s">
        <v>45</v>
      </c>
      <c r="J77" t="s">
        <v>21</v>
      </c>
      <c r="K77" t="s">
        <v>22</v>
      </c>
      <c r="L77">
        <v>6400</v>
      </c>
      <c r="M77" t="s">
        <v>32</v>
      </c>
      <c r="N77" s="1"/>
      <c r="O77" t="s">
        <v>33</v>
      </c>
      <c r="P77" t="s">
        <v>208</v>
      </c>
    </row>
    <row r="78" spans="1:16" x14ac:dyDescent="0.3">
      <c r="A78">
        <v>1068</v>
      </c>
      <c r="B78" t="s">
        <v>100</v>
      </c>
      <c r="C78" t="s">
        <v>171</v>
      </c>
      <c r="D78" t="s">
        <v>18</v>
      </c>
      <c r="E78" s="1">
        <v>30240</v>
      </c>
      <c r="F78" s="1">
        <v>44255</v>
      </c>
      <c r="G78">
        <v>30</v>
      </c>
      <c r="H78" t="s">
        <v>209</v>
      </c>
      <c r="I78" t="s">
        <v>30</v>
      </c>
      <c r="J78" t="s">
        <v>21</v>
      </c>
      <c r="K78" t="s">
        <v>22</v>
      </c>
      <c r="L78">
        <v>5750</v>
      </c>
      <c r="M78" t="s">
        <v>32</v>
      </c>
      <c r="N78" s="1"/>
      <c r="O78" t="s">
        <v>33</v>
      </c>
      <c r="P78" t="s">
        <v>210</v>
      </c>
    </row>
    <row r="79" spans="1:16" x14ac:dyDescent="0.3">
      <c r="A79">
        <v>1204</v>
      </c>
      <c r="B79" t="s">
        <v>100</v>
      </c>
      <c r="C79" t="s">
        <v>74</v>
      </c>
      <c r="D79" t="s">
        <v>18</v>
      </c>
      <c r="E79" s="1">
        <v>35846</v>
      </c>
      <c r="F79" s="1">
        <v>43855</v>
      </c>
      <c r="G79">
        <v>30</v>
      </c>
      <c r="H79" t="s">
        <v>56</v>
      </c>
      <c r="I79" t="s">
        <v>45</v>
      </c>
      <c r="J79" t="s">
        <v>46</v>
      </c>
      <c r="K79" t="s">
        <v>22</v>
      </c>
      <c r="L79">
        <v>3550</v>
      </c>
      <c r="M79" t="s">
        <v>23</v>
      </c>
      <c r="N79" s="1">
        <v>44428</v>
      </c>
      <c r="O79" t="s">
        <v>24</v>
      </c>
      <c r="P79" t="s">
        <v>211</v>
      </c>
    </row>
    <row r="80" spans="1:16" x14ac:dyDescent="0.3">
      <c r="A80">
        <v>1452</v>
      </c>
      <c r="B80" t="s">
        <v>112</v>
      </c>
      <c r="C80" t="s">
        <v>119</v>
      </c>
      <c r="D80" t="s">
        <v>18</v>
      </c>
      <c r="E80" s="1">
        <v>34243</v>
      </c>
      <c r="F80" s="1">
        <v>42589</v>
      </c>
      <c r="G80">
        <v>10</v>
      </c>
      <c r="H80" t="s">
        <v>44</v>
      </c>
      <c r="I80" t="s">
        <v>39</v>
      </c>
      <c r="J80" t="s">
        <v>21</v>
      </c>
      <c r="K80" t="s">
        <v>22</v>
      </c>
      <c r="L80">
        <v>12650</v>
      </c>
      <c r="M80" t="s">
        <v>32</v>
      </c>
      <c r="N80" s="1"/>
      <c r="O80" t="s">
        <v>33</v>
      </c>
      <c r="P80" t="s">
        <v>33</v>
      </c>
    </row>
    <row r="81" spans="1:16" x14ac:dyDescent="0.3">
      <c r="A81">
        <v>1454</v>
      </c>
      <c r="B81" t="s">
        <v>100</v>
      </c>
      <c r="C81" t="s">
        <v>163</v>
      </c>
      <c r="D81" t="s">
        <v>18</v>
      </c>
      <c r="E81" s="1">
        <v>32950</v>
      </c>
      <c r="F81" s="1">
        <v>45601</v>
      </c>
      <c r="G81">
        <v>50</v>
      </c>
      <c r="H81" t="s">
        <v>123</v>
      </c>
      <c r="I81" t="s">
        <v>45</v>
      </c>
      <c r="J81" t="s">
        <v>52</v>
      </c>
      <c r="K81" t="s">
        <v>22</v>
      </c>
      <c r="L81">
        <v>4150</v>
      </c>
      <c r="M81" t="s">
        <v>23</v>
      </c>
      <c r="N81" s="1">
        <v>45786</v>
      </c>
      <c r="O81" t="s">
        <v>186</v>
      </c>
      <c r="P81" t="s">
        <v>212</v>
      </c>
    </row>
    <row r="82" spans="1:16" x14ac:dyDescent="0.3">
      <c r="A82">
        <v>1180</v>
      </c>
      <c r="B82" t="s">
        <v>70</v>
      </c>
      <c r="C82" t="s">
        <v>213</v>
      </c>
      <c r="D82" t="s">
        <v>148</v>
      </c>
      <c r="E82" s="1">
        <v>33567</v>
      </c>
      <c r="F82" s="1">
        <v>43843</v>
      </c>
      <c r="G82">
        <v>30</v>
      </c>
      <c r="H82" t="s">
        <v>209</v>
      </c>
      <c r="I82" t="s">
        <v>214</v>
      </c>
      <c r="J82" t="s">
        <v>46</v>
      </c>
      <c r="K82" t="s">
        <v>22</v>
      </c>
      <c r="L82">
        <v>4250</v>
      </c>
      <c r="M82" t="s">
        <v>32</v>
      </c>
      <c r="N82" s="1"/>
      <c r="O82" t="s">
        <v>33</v>
      </c>
      <c r="P82" t="s">
        <v>215</v>
      </c>
    </row>
    <row r="83" spans="1:16" x14ac:dyDescent="0.3">
      <c r="A83">
        <v>1302</v>
      </c>
      <c r="B83" t="s">
        <v>58</v>
      </c>
      <c r="C83" t="s">
        <v>216</v>
      </c>
      <c r="D83" t="s">
        <v>18</v>
      </c>
      <c r="E83" s="1">
        <v>31678</v>
      </c>
      <c r="F83" s="1">
        <v>42896</v>
      </c>
      <c r="G83">
        <v>40</v>
      </c>
      <c r="H83" t="s">
        <v>101</v>
      </c>
      <c r="I83" t="s">
        <v>39</v>
      </c>
      <c r="J83" t="s">
        <v>21</v>
      </c>
      <c r="K83" t="s">
        <v>22</v>
      </c>
      <c r="L83">
        <v>8350</v>
      </c>
      <c r="M83" t="s">
        <v>32</v>
      </c>
      <c r="N83" s="1"/>
      <c r="O83" t="s">
        <v>33</v>
      </c>
      <c r="P83" t="s">
        <v>217</v>
      </c>
    </row>
    <row r="84" spans="1:16" x14ac:dyDescent="0.3">
      <c r="A84">
        <v>1108</v>
      </c>
      <c r="B84" t="s">
        <v>218</v>
      </c>
      <c r="C84" t="s">
        <v>144</v>
      </c>
      <c r="D84" t="s">
        <v>37</v>
      </c>
      <c r="E84" s="1">
        <v>31864</v>
      </c>
      <c r="F84" s="1">
        <v>43130</v>
      </c>
      <c r="G84">
        <v>60</v>
      </c>
      <c r="H84" t="s">
        <v>78</v>
      </c>
      <c r="I84" t="s">
        <v>219</v>
      </c>
      <c r="J84" t="s">
        <v>21</v>
      </c>
      <c r="K84" t="s">
        <v>22</v>
      </c>
      <c r="L84">
        <v>3550</v>
      </c>
      <c r="M84" t="s">
        <v>32</v>
      </c>
      <c r="N84" s="1"/>
      <c r="O84" t="s">
        <v>33</v>
      </c>
      <c r="P84" t="s">
        <v>220</v>
      </c>
    </row>
    <row r="85" spans="1:16" x14ac:dyDescent="0.3">
      <c r="A85">
        <v>1103</v>
      </c>
      <c r="B85" t="s">
        <v>147</v>
      </c>
      <c r="C85" t="s">
        <v>171</v>
      </c>
      <c r="D85" t="s">
        <v>221</v>
      </c>
      <c r="E85" s="1">
        <v>31937</v>
      </c>
      <c r="F85" s="1">
        <v>45834</v>
      </c>
      <c r="G85">
        <v>10</v>
      </c>
      <c r="H85" t="s">
        <v>108</v>
      </c>
      <c r="I85" t="s">
        <v>30</v>
      </c>
      <c r="J85" t="s">
        <v>21</v>
      </c>
      <c r="K85" t="s">
        <v>22</v>
      </c>
      <c r="L85">
        <v>8800</v>
      </c>
      <c r="M85" t="s">
        <v>23</v>
      </c>
      <c r="N85" s="1">
        <v>46019</v>
      </c>
      <c r="O85" t="s">
        <v>105</v>
      </c>
      <c r="P85" t="s">
        <v>222</v>
      </c>
    </row>
    <row r="86" spans="1:16" x14ac:dyDescent="0.3">
      <c r="A86">
        <v>1147</v>
      </c>
      <c r="B86" t="s">
        <v>164</v>
      </c>
      <c r="C86" t="s">
        <v>65</v>
      </c>
      <c r="D86" t="s">
        <v>18</v>
      </c>
      <c r="E86" s="1">
        <v>31316</v>
      </c>
      <c r="F86" s="1">
        <v>42662</v>
      </c>
      <c r="G86">
        <v>40</v>
      </c>
      <c r="H86" t="s">
        <v>120</v>
      </c>
      <c r="I86" t="s">
        <v>30</v>
      </c>
      <c r="J86" t="s">
        <v>21</v>
      </c>
      <c r="K86" t="s">
        <v>22</v>
      </c>
      <c r="L86">
        <v>4850</v>
      </c>
      <c r="M86" t="s">
        <v>32</v>
      </c>
      <c r="N86" s="1"/>
      <c r="O86" t="s">
        <v>33</v>
      </c>
      <c r="P86" t="s">
        <v>223</v>
      </c>
    </row>
    <row r="87" spans="1:16" x14ac:dyDescent="0.3">
      <c r="A87">
        <v>1297</v>
      </c>
      <c r="B87" t="s">
        <v>115</v>
      </c>
      <c r="C87" t="s">
        <v>224</v>
      </c>
      <c r="D87" t="s">
        <v>37</v>
      </c>
      <c r="E87" s="1">
        <v>29038</v>
      </c>
      <c r="F87" s="1">
        <v>44757</v>
      </c>
      <c r="G87">
        <v>10</v>
      </c>
      <c r="H87" t="s">
        <v>49</v>
      </c>
      <c r="I87" t="s">
        <v>30</v>
      </c>
      <c r="J87" t="s">
        <v>31</v>
      </c>
      <c r="K87" t="s">
        <v>22</v>
      </c>
      <c r="L87">
        <v>7300</v>
      </c>
      <c r="M87" t="s">
        <v>32</v>
      </c>
      <c r="N87" s="1"/>
      <c r="O87" t="s">
        <v>33</v>
      </c>
      <c r="P87" t="s">
        <v>225</v>
      </c>
    </row>
    <row r="88" spans="1:16" x14ac:dyDescent="0.3">
      <c r="A88">
        <v>1100</v>
      </c>
      <c r="B88" t="s">
        <v>134</v>
      </c>
      <c r="C88" t="s">
        <v>36</v>
      </c>
      <c r="D88" t="s">
        <v>37</v>
      </c>
      <c r="E88" s="1">
        <v>35674</v>
      </c>
      <c r="F88" s="1">
        <v>44443</v>
      </c>
      <c r="G88">
        <v>10</v>
      </c>
      <c r="H88" t="s">
        <v>87</v>
      </c>
      <c r="I88" t="s">
        <v>45</v>
      </c>
      <c r="J88" t="s">
        <v>21</v>
      </c>
      <c r="K88" t="s">
        <v>22</v>
      </c>
      <c r="L88">
        <v>5650</v>
      </c>
      <c r="M88" t="s">
        <v>32</v>
      </c>
      <c r="N88" s="1"/>
      <c r="O88" t="s">
        <v>33</v>
      </c>
      <c r="P88" t="s">
        <v>226</v>
      </c>
    </row>
    <row r="89" spans="1:16" x14ac:dyDescent="0.3">
      <c r="A89">
        <v>1445</v>
      </c>
      <c r="B89" t="s">
        <v>164</v>
      </c>
      <c r="C89" t="s">
        <v>171</v>
      </c>
      <c r="D89" t="s">
        <v>18</v>
      </c>
      <c r="E89" s="1">
        <v>31305</v>
      </c>
      <c r="F89" s="1">
        <v>42876</v>
      </c>
      <c r="G89">
        <v>70</v>
      </c>
      <c r="H89" t="s">
        <v>38</v>
      </c>
      <c r="I89" t="s">
        <v>30</v>
      </c>
      <c r="J89" t="s">
        <v>31</v>
      </c>
      <c r="K89" t="s">
        <v>22</v>
      </c>
      <c r="L89">
        <v>5200</v>
      </c>
      <c r="M89" t="s">
        <v>32</v>
      </c>
      <c r="N89" s="1"/>
      <c r="O89" t="s">
        <v>33</v>
      </c>
      <c r="P89" t="s">
        <v>227</v>
      </c>
    </row>
    <row r="90" spans="1:16" x14ac:dyDescent="0.3">
      <c r="A90">
        <v>1178</v>
      </c>
      <c r="B90" t="s">
        <v>228</v>
      </c>
      <c r="C90" t="s">
        <v>194</v>
      </c>
      <c r="D90" t="s">
        <v>37</v>
      </c>
      <c r="E90" s="1">
        <v>33281</v>
      </c>
      <c r="F90" s="1">
        <v>43285</v>
      </c>
      <c r="G90">
        <v>40</v>
      </c>
      <c r="H90" t="s">
        <v>120</v>
      </c>
      <c r="I90" t="s">
        <v>30</v>
      </c>
      <c r="J90" t="s">
        <v>191</v>
      </c>
      <c r="K90" t="s">
        <v>22</v>
      </c>
      <c r="L90">
        <v>5950</v>
      </c>
      <c r="M90" t="s">
        <v>32</v>
      </c>
      <c r="N90" s="1"/>
      <c r="O90" t="s">
        <v>33</v>
      </c>
      <c r="P90" t="s">
        <v>229</v>
      </c>
    </row>
    <row r="91" spans="1:16" x14ac:dyDescent="0.3">
      <c r="A91">
        <v>1256</v>
      </c>
      <c r="B91" t="s">
        <v>112</v>
      </c>
      <c r="C91" t="s">
        <v>113</v>
      </c>
      <c r="D91" t="s">
        <v>37</v>
      </c>
      <c r="E91" s="1">
        <v>35066</v>
      </c>
      <c r="F91" s="1">
        <v>44079</v>
      </c>
      <c r="G91">
        <v>10</v>
      </c>
      <c r="H91" t="s">
        <v>108</v>
      </c>
      <c r="I91" t="s">
        <v>45</v>
      </c>
      <c r="J91" t="s">
        <v>21</v>
      </c>
      <c r="K91" t="s">
        <v>22</v>
      </c>
      <c r="L91">
        <v>5950</v>
      </c>
      <c r="M91" t="s">
        <v>32</v>
      </c>
      <c r="N91" s="1"/>
      <c r="O91" t="s">
        <v>33</v>
      </c>
      <c r="P91" t="s">
        <v>230</v>
      </c>
    </row>
    <row r="92" spans="1:16" x14ac:dyDescent="0.3">
      <c r="A92">
        <v>1285</v>
      </c>
      <c r="B92" t="s">
        <v>134</v>
      </c>
      <c r="C92" t="s">
        <v>103</v>
      </c>
      <c r="D92" t="s">
        <v>37</v>
      </c>
      <c r="E92" s="1">
        <v>29014</v>
      </c>
      <c r="F92" s="1">
        <v>44534</v>
      </c>
      <c r="G92">
        <v>40</v>
      </c>
      <c r="H92" t="s">
        <v>101</v>
      </c>
      <c r="I92" t="s">
        <v>39</v>
      </c>
      <c r="J92" t="s">
        <v>31</v>
      </c>
      <c r="K92" t="s">
        <v>22</v>
      </c>
      <c r="L92">
        <v>10000</v>
      </c>
      <c r="M92" t="s">
        <v>32</v>
      </c>
      <c r="N92" s="1"/>
      <c r="O92" t="s">
        <v>33</v>
      </c>
      <c r="P92" t="s">
        <v>231</v>
      </c>
    </row>
    <row r="93" spans="1:16" x14ac:dyDescent="0.3">
      <c r="A93">
        <v>1190</v>
      </c>
      <c r="B93" t="s">
        <v>64</v>
      </c>
      <c r="C93" t="s">
        <v>224</v>
      </c>
      <c r="D93" t="s">
        <v>37</v>
      </c>
      <c r="E93" s="1">
        <v>35058</v>
      </c>
      <c r="F93" s="1">
        <v>42375</v>
      </c>
      <c r="G93">
        <v>20</v>
      </c>
      <c r="H93" t="s">
        <v>104</v>
      </c>
      <c r="I93" t="s">
        <v>39</v>
      </c>
      <c r="J93" t="s">
        <v>165</v>
      </c>
      <c r="K93" t="s">
        <v>22</v>
      </c>
      <c r="L93">
        <v>7400</v>
      </c>
      <c r="M93" t="s">
        <v>23</v>
      </c>
      <c r="N93" s="1">
        <v>44137</v>
      </c>
      <c r="O93" t="s">
        <v>117</v>
      </c>
      <c r="P93" t="s">
        <v>232</v>
      </c>
    </row>
    <row r="94" spans="1:16" x14ac:dyDescent="0.3">
      <c r="A94">
        <v>1377</v>
      </c>
      <c r="B94" t="s">
        <v>204</v>
      </c>
      <c r="C94" t="s">
        <v>233</v>
      </c>
      <c r="D94" t="s">
        <v>37</v>
      </c>
      <c r="E94" s="1">
        <v>34052</v>
      </c>
      <c r="F94" s="1">
        <v>45374</v>
      </c>
      <c r="G94">
        <v>10</v>
      </c>
      <c r="H94" t="s">
        <v>108</v>
      </c>
      <c r="I94" t="s">
        <v>45</v>
      </c>
      <c r="J94" t="s">
        <v>21</v>
      </c>
      <c r="K94" t="s">
        <v>22</v>
      </c>
      <c r="L94">
        <v>6650</v>
      </c>
      <c r="M94" t="s">
        <v>23</v>
      </c>
      <c r="N94" s="1">
        <v>46018</v>
      </c>
      <c r="O94" t="s">
        <v>105</v>
      </c>
      <c r="P94" t="s">
        <v>234</v>
      </c>
    </row>
    <row r="95" spans="1:16" x14ac:dyDescent="0.3">
      <c r="A95">
        <v>1314</v>
      </c>
      <c r="B95" t="s">
        <v>80</v>
      </c>
      <c r="C95" t="s">
        <v>103</v>
      </c>
      <c r="D95" t="s">
        <v>37</v>
      </c>
      <c r="E95" s="1">
        <v>32550</v>
      </c>
      <c r="F95" s="1">
        <v>44739</v>
      </c>
      <c r="G95">
        <v>20</v>
      </c>
      <c r="H95" t="s">
        <v>104</v>
      </c>
      <c r="I95" t="s">
        <v>30</v>
      </c>
      <c r="J95" t="s">
        <v>21</v>
      </c>
      <c r="K95" t="s">
        <v>22</v>
      </c>
      <c r="L95">
        <v>5000</v>
      </c>
      <c r="M95" t="s">
        <v>23</v>
      </c>
      <c r="N95" s="1">
        <v>45014</v>
      </c>
      <c r="O95" t="s">
        <v>105</v>
      </c>
      <c r="P95" t="s">
        <v>235</v>
      </c>
    </row>
    <row r="96" spans="1:16" x14ac:dyDescent="0.3">
      <c r="A96">
        <v>1385</v>
      </c>
      <c r="B96" t="s">
        <v>35</v>
      </c>
      <c r="C96" t="s">
        <v>131</v>
      </c>
      <c r="D96" t="s">
        <v>18</v>
      </c>
      <c r="E96" s="1">
        <v>35191</v>
      </c>
      <c r="F96" s="1">
        <v>43066</v>
      </c>
      <c r="G96">
        <v>10</v>
      </c>
      <c r="H96" t="s">
        <v>49</v>
      </c>
      <c r="I96" t="s">
        <v>30</v>
      </c>
      <c r="J96" t="s">
        <v>21</v>
      </c>
      <c r="K96" t="s">
        <v>22</v>
      </c>
      <c r="L96">
        <v>7800</v>
      </c>
      <c r="M96" t="s">
        <v>32</v>
      </c>
      <c r="N96" s="1"/>
      <c r="O96" t="s">
        <v>33</v>
      </c>
      <c r="P96" t="s">
        <v>236</v>
      </c>
    </row>
    <row r="97" spans="1:16" x14ac:dyDescent="0.3">
      <c r="A97">
        <v>1305</v>
      </c>
      <c r="B97" t="s">
        <v>54</v>
      </c>
      <c r="C97" t="s">
        <v>107</v>
      </c>
      <c r="D97" t="s">
        <v>37</v>
      </c>
      <c r="E97" s="1">
        <v>32178</v>
      </c>
      <c r="F97" s="1">
        <v>43354</v>
      </c>
      <c r="G97">
        <v>20</v>
      </c>
      <c r="H97" t="s">
        <v>60</v>
      </c>
      <c r="I97" t="s">
        <v>20</v>
      </c>
      <c r="J97" t="s">
        <v>21</v>
      </c>
      <c r="K97" t="s">
        <v>22</v>
      </c>
      <c r="L97">
        <v>9050</v>
      </c>
      <c r="M97" t="s">
        <v>32</v>
      </c>
      <c r="N97" s="1"/>
      <c r="O97" t="s">
        <v>33</v>
      </c>
      <c r="P97" t="s">
        <v>237</v>
      </c>
    </row>
    <row r="98" spans="1:16" x14ac:dyDescent="0.3">
      <c r="A98">
        <v>1084</v>
      </c>
      <c r="B98" t="s">
        <v>147</v>
      </c>
      <c r="C98" t="s">
        <v>59</v>
      </c>
      <c r="D98" t="s">
        <v>18</v>
      </c>
      <c r="E98" s="1">
        <v>30153</v>
      </c>
      <c r="F98" s="1">
        <v>44358</v>
      </c>
      <c r="G98">
        <v>30</v>
      </c>
      <c r="H98" t="s">
        <v>209</v>
      </c>
      <c r="I98" t="s">
        <v>39</v>
      </c>
      <c r="J98" t="s">
        <v>165</v>
      </c>
      <c r="K98" t="s">
        <v>22</v>
      </c>
      <c r="L98">
        <v>9150</v>
      </c>
      <c r="M98" t="s">
        <v>23</v>
      </c>
      <c r="N98" s="1">
        <v>45875</v>
      </c>
      <c r="O98" t="s">
        <v>24</v>
      </c>
      <c r="P98" t="s">
        <v>238</v>
      </c>
    </row>
    <row r="99" spans="1:16" x14ac:dyDescent="0.3">
      <c r="A99">
        <v>1396</v>
      </c>
      <c r="B99" t="s">
        <v>67</v>
      </c>
      <c r="C99" t="s">
        <v>59</v>
      </c>
      <c r="D99" t="s">
        <v>18</v>
      </c>
      <c r="E99" s="1">
        <v>34385</v>
      </c>
      <c r="F99" s="1">
        <v>45308</v>
      </c>
      <c r="G99">
        <v>70</v>
      </c>
      <c r="H99" t="s">
        <v>38</v>
      </c>
      <c r="I99" t="s">
        <v>39</v>
      </c>
      <c r="J99" t="s">
        <v>21</v>
      </c>
      <c r="K99" t="s">
        <v>22</v>
      </c>
      <c r="L99">
        <v>7450</v>
      </c>
      <c r="M99" t="s">
        <v>32</v>
      </c>
      <c r="N99" s="1"/>
      <c r="O99" t="s">
        <v>33</v>
      </c>
      <c r="P99" t="s">
        <v>239</v>
      </c>
    </row>
    <row r="100" spans="1:16" x14ac:dyDescent="0.3">
      <c r="A100">
        <v>1358</v>
      </c>
      <c r="B100" t="s">
        <v>112</v>
      </c>
      <c r="C100" t="s">
        <v>216</v>
      </c>
      <c r="D100" t="s">
        <v>18</v>
      </c>
      <c r="E100" s="1">
        <v>36617</v>
      </c>
      <c r="F100" s="1">
        <v>45692</v>
      </c>
      <c r="G100">
        <v>60</v>
      </c>
      <c r="H100" t="s">
        <v>29</v>
      </c>
      <c r="I100" t="s">
        <v>30</v>
      </c>
      <c r="J100" t="s">
        <v>52</v>
      </c>
      <c r="K100" t="s">
        <v>22</v>
      </c>
      <c r="L100">
        <v>4050</v>
      </c>
      <c r="M100" t="s">
        <v>32</v>
      </c>
      <c r="N100" s="1"/>
      <c r="O100" t="s">
        <v>33</v>
      </c>
      <c r="P100" t="s">
        <v>240</v>
      </c>
    </row>
    <row r="101" spans="1:16" x14ac:dyDescent="0.3">
      <c r="A101">
        <v>1062</v>
      </c>
      <c r="B101" t="s">
        <v>85</v>
      </c>
      <c r="C101" t="s">
        <v>119</v>
      </c>
      <c r="D101" t="s">
        <v>148</v>
      </c>
      <c r="E101" s="1">
        <v>32517</v>
      </c>
      <c r="F101" s="1">
        <v>44888</v>
      </c>
      <c r="G101">
        <v>30</v>
      </c>
      <c r="H101" t="s">
        <v>56</v>
      </c>
      <c r="I101" t="s">
        <v>45</v>
      </c>
      <c r="J101" t="s">
        <v>46</v>
      </c>
      <c r="K101" t="s">
        <v>22</v>
      </c>
      <c r="L101">
        <v>4200</v>
      </c>
      <c r="M101" t="s">
        <v>32</v>
      </c>
      <c r="N101" s="1"/>
      <c r="O101" t="s">
        <v>33</v>
      </c>
      <c r="P101" t="s">
        <v>241</v>
      </c>
    </row>
    <row r="102" spans="1:16" x14ac:dyDescent="0.3">
      <c r="A102">
        <v>1341</v>
      </c>
      <c r="B102" t="s">
        <v>89</v>
      </c>
      <c r="C102" t="s">
        <v>200</v>
      </c>
      <c r="D102" t="s">
        <v>18</v>
      </c>
      <c r="E102" s="1">
        <v>27428</v>
      </c>
      <c r="F102" s="1">
        <v>43095</v>
      </c>
      <c r="G102">
        <v>10</v>
      </c>
      <c r="H102" t="s">
        <v>108</v>
      </c>
      <c r="I102" t="s">
        <v>242</v>
      </c>
      <c r="J102" t="s">
        <v>21</v>
      </c>
      <c r="K102" t="s">
        <v>22</v>
      </c>
      <c r="L102">
        <v>14500</v>
      </c>
      <c r="M102" t="s">
        <v>32</v>
      </c>
      <c r="N102" s="1"/>
      <c r="O102" t="s">
        <v>33</v>
      </c>
      <c r="P102" t="s">
        <v>243</v>
      </c>
    </row>
    <row r="103" spans="1:16" x14ac:dyDescent="0.3">
      <c r="A103">
        <v>1417</v>
      </c>
      <c r="B103" t="s">
        <v>136</v>
      </c>
      <c r="C103" t="s">
        <v>216</v>
      </c>
      <c r="D103" t="s">
        <v>18</v>
      </c>
      <c r="E103" s="1">
        <v>35372</v>
      </c>
      <c r="F103" s="1">
        <v>45660</v>
      </c>
      <c r="G103">
        <v>20</v>
      </c>
      <c r="H103" t="s">
        <v>104</v>
      </c>
      <c r="I103" t="s">
        <v>45</v>
      </c>
      <c r="J103" t="s">
        <v>165</v>
      </c>
      <c r="K103" t="s">
        <v>22</v>
      </c>
      <c r="L103">
        <v>2750</v>
      </c>
      <c r="M103" t="s">
        <v>23</v>
      </c>
      <c r="N103" s="1">
        <v>45993</v>
      </c>
      <c r="O103" t="s">
        <v>105</v>
      </c>
      <c r="P103" t="s">
        <v>244</v>
      </c>
    </row>
    <row r="104" spans="1:16" x14ac:dyDescent="0.3">
      <c r="A104">
        <v>1467</v>
      </c>
      <c r="B104" t="s">
        <v>58</v>
      </c>
      <c r="C104" t="s">
        <v>59</v>
      </c>
      <c r="D104" t="s">
        <v>18</v>
      </c>
      <c r="E104" s="1">
        <v>28552</v>
      </c>
      <c r="F104" s="1">
        <v>43549</v>
      </c>
      <c r="G104">
        <v>20</v>
      </c>
      <c r="H104" t="s">
        <v>104</v>
      </c>
      <c r="I104" t="s">
        <v>39</v>
      </c>
      <c r="J104" t="s">
        <v>21</v>
      </c>
      <c r="K104" t="s">
        <v>40</v>
      </c>
      <c r="L104">
        <v>9700</v>
      </c>
      <c r="M104" t="s">
        <v>23</v>
      </c>
      <c r="N104" s="1">
        <v>44227</v>
      </c>
      <c r="O104" t="s">
        <v>62</v>
      </c>
      <c r="P104" t="s">
        <v>245</v>
      </c>
    </row>
    <row r="105" spans="1:16" x14ac:dyDescent="0.3">
      <c r="A105">
        <v>1060</v>
      </c>
      <c r="B105" t="s">
        <v>67</v>
      </c>
      <c r="C105" t="s">
        <v>144</v>
      </c>
      <c r="D105" t="s">
        <v>37</v>
      </c>
      <c r="E105" s="1">
        <v>35593</v>
      </c>
      <c r="F105" s="1">
        <v>45829</v>
      </c>
      <c r="G105">
        <v>60</v>
      </c>
      <c r="H105" t="s">
        <v>29</v>
      </c>
      <c r="I105" t="s">
        <v>45</v>
      </c>
      <c r="J105" t="s">
        <v>52</v>
      </c>
      <c r="K105" t="s">
        <v>22</v>
      </c>
      <c r="L105">
        <v>3150</v>
      </c>
      <c r="M105" t="s">
        <v>32</v>
      </c>
      <c r="N105" s="1"/>
      <c r="O105" t="s">
        <v>33</v>
      </c>
      <c r="P105" t="s">
        <v>246</v>
      </c>
    </row>
    <row r="106" spans="1:16" x14ac:dyDescent="0.3">
      <c r="A106">
        <v>1186</v>
      </c>
      <c r="B106" t="s">
        <v>70</v>
      </c>
      <c r="C106" t="s">
        <v>247</v>
      </c>
      <c r="D106" t="s">
        <v>148</v>
      </c>
      <c r="E106" s="1">
        <v>35326</v>
      </c>
      <c r="F106" s="1">
        <v>43428</v>
      </c>
      <c r="G106">
        <v>20</v>
      </c>
      <c r="H106" t="s">
        <v>104</v>
      </c>
      <c r="I106" t="s">
        <v>45</v>
      </c>
      <c r="J106" t="s">
        <v>132</v>
      </c>
      <c r="K106" t="s">
        <v>22</v>
      </c>
      <c r="L106">
        <v>3700</v>
      </c>
      <c r="M106" t="s">
        <v>23</v>
      </c>
      <c r="N106" s="1">
        <v>43626</v>
      </c>
      <c r="O106" t="s">
        <v>117</v>
      </c>
      <c r="P106" t="s">
        <v>248</v>
      </c>
    </row>
    <row r="107" spans="1:16" x14ac:dyDescent="0.3">
      <c r="A107">
        <v>1011</v>
      </c>
      <c r="B107" t="s">
        <v>157</v>
      </c>
      <c r="C107" t="s">
        <v>126</v>
      </c>
      <c r="D107" t="s">
        <v>37</v>
      </c>
      <c r="E107" s="1">
        <v>35181</v>
      </c>
      <c r="F107" s="1">
        <v>45178</v>
      </c>
      <c r="G107">
        <v>10</v>
      </c>
      <c r="H107" t="s">
        <v>44</v>
      </c>
      <c r="I107" t="s">
        <v>30</v>
      </c>
      <c r="J107" t="s">
        <v>21</v>
      </c>
      <c r="K107" t="s">
        <v>22</v>
      </c>
      <c r="L107">
        <v>8650</v>
      </c>
      <c r="M107" t="s">
        <v>32</v>
      </c>
      <c r="N107" s="1"/>
      <c r="O107" t="s">
        <v>33</v>
      </c>
      <c r="P107" t="s">
        <v>249</v>
      </c>
    </row>
    <row r="108" spans="1:16" x14ac:dyDescent="0.3">
      <c r="A108">
        <v>1056</v>
      </c>
      <c r="B108" t="s">
        <v>89</v>
      </c>
      <c r="C108" t="s">
        <v>194</v>
      </c>
      <c r="D108" t="s">
        <v>37</v>
      </c>
      <c r="E108" s="1">
        <v>25491</v>
      </c>
      <c r="F108" s="1">
        <v>43858</v>
      </c>
      <c r="G108">
        <v>20</v>
      </c>
      <c r="H108" t="s">
        <v>60</v>
      </c>
      <c r="I108" t="s">
        <v>20</v>
      </c>
      <c r="J108" t="s">
        <v>21</v>
      </c>
      <c r="K108" t="s">
        <v>22</v>
      </c>
      <c r="L108">
        <v>10100</v>
      </c>
      <c r="M108" t="s">
        <v>32</v>
      </c>
      <c r="N108" s="1"/>
      <c r="O108" t="s">
        <v>33</v>
      </c>
      <c r="P108" t="s">
        <v>250</v>
      </c>
    </row>
    <row r="109" spans="1:16" x14ac:dyDescent="0.3">
      <c r="A109">
        <v>1446</v>
      </c>
      <c r="B109" t="s">
        <v>125</v>
      </c>
      <c r="C109" t="s">
        <v>126</v>
      </c>
      <c r="D109" t="s">
        <v>37</v>
      </c>
      <c r="E109" s="1">
        <v>36753</v>
      </c>
      <c r="F109" s="1">
        <v>45375</v>
      </c>
      <c r="G109">
        <v>10</v>
      </c>
      <c r="H109" t="s">
        <v>44</v>
      </c>
      <c r="I109" t="s">
        <v>45</v>
      </c>
      <c r="J109" t="s">
        <v>31</v>
      </c>
      <c r="K109" t="s">
        <v>22</v>
      </c>
      <c r="L109">
        <v>6850</v>
      </c>
      <c r="M109" t="s">
        <v>32</v>
      </c>
      <c r="N109" s="1"/>
      <c r="O109" t="s">
        <v>33</v>
      </c>
      <c r="P109" t="s">
        <v>251</v>
      </c>
    </row>
    <row r="110" spans="1:16" x14ac:dyDescent="0.3">
      <c r="A110">
        <v>1362</v>
      </c>
      <c r="B110" t="s">
        <v>188</v>
      </c>
      <c r="C110" t="s">
        <v>198</v>
      </c>
      <c r="D110" t="s">
        <v>18</v>
      </c>
      <c r="E110" s="1">
        <v>32817</v>
      </c>
      <c r="F110" s="1">
        <v>44728</v>
      </c>
      <c r="G110">
        <v>20</v>
      </c>
      <c r="H110" t="s">
        <v>60</v>
      </c>
      <c r="I110" t="s">
        <v>20</v>
      </c>
      <c r="J110" t="s">
        <v>31</v>
      </c>
      <c r="K110" t="s">
        <v>22</v>
      </c>
      <c r="L110">
        <v>9750</v>
      </c>
      <c r="M110" t="s">
        <v>32</v>
      </c>
      <c r="N110" s="1"/>
      <c r="O110" t="s">
        <v>33</v>
      </c>
      <c r="P110" t="s">
        <v>252</v>
      </c>
    </row>
    <row r="111" spans="1:16" x14ac:dyDescent="0.3">
      <c r="A111">
        <v>1057</v>
      </c>
      <c r="B111" t="s">
        <v>164</v>
      </c>
      <c r="C111" t="s">
        <v>253</v>
      </c>
      <c r="D111" t="s">
        <v>174</v>
      </c>
      <c r="E111" s="1">
        <v>35895</v>
      </c>
      <c r="F111" s="1">
        <v>45395</v>
      </c>
      <c r="G111">
        <v>60</v>
      </c>
      <c r="H111" t="s">
        <v>78</v>
      </c>
      <c r="I111" t="s">
        <v>45</v>
      </c>
      <c r="J111" t="s">
        <v>21</v>
      </c>
      <c r="K111" t="s">
        <v>22</v>
      </c>
      <c r="L111">
        <v>2950</v>
      </c>
      <c r="M111" t="s">
        <v>23</v>
      </c>
      <c r="N111" s="1">
        <v>45947</v>
      </c>
      <c r="O111" t="s">
        <v>152</v>
      </c>
      <c r="P111" t="s">
        <v>254</v>
      </c>
    </row>
    <row r="112" spans="1:16" x14ac:dyDescent="0.3">
      <c r="A112">
        <v>1477</v>
      </c>
      <c r="B112" t="s">
        <v>134</v>
      </c>
      <c r="C112" t="s">
        <v>74</v>
      </c>
      <c r="D112" t="s">
        <v>18</v>
      </c>
      <c r="E112" s="1">
        <v>34168</v>
      </c>
      <c r="F112" s="1">
        <v>42763</v>
      </c>
      <c r="G112">
        <v>10</v>
      </c>
      <c r="H112" t="s">
        <v>44</v>
      </c>
      <c r="I112" t="s">
        <v>45</v>
      </c>
      <c r="J112" t="s">
        <v>191</v>
      </c>
      <c r="K112" t="s">
        <v>22</v>
      </c>
      <c r="L112">
        <v>6600</v>
      </c>
      <c r="M112" t="s">
        <v>32</v>
      </c>
      <c r="N112" s="1"/>
      <c r="O112" t="s">
        <v>33</v>
      </c>
      <c r="P112" t="s">
        <v>255</v>
      </c>
    </row>
    <row r="113" spans="1:16" x14ac:dyDescent="0.3">
      <c r="A113">
        <v>1348</v>
      </c>
      <c r="B113" t="s">
        <v>136</v>
      </c>
      <c r="C113" t="s">
        <v>65</v>
      </c>
      <c r="D113" t="s">
        <v>18</v>
      </c>
      <c r="E113" s="1">
        <v>33077</v>
      </c>
      <c r="F113" s="1">
        <v>45068</v>
      </c>
      <c r="G113">
        <v>10</v>
      </c>
      <c r="H113" t="s">
        <v>49</v>
      </c>
      <c r="I113" t="s">
        <v>45</v>
      </c>
      <c r="J113" t="s">
        <v>21</v>
      </c>
      <c r="K113" t="s">
        <v>22</v>
      </c>
      <c r="L113">
        <v>6300</v>
      </c>
      <c r="M113" t="s">
        <v>23</v>
      </c>
      <c r="N113" s="1">
        <v>45374</v>
      </c>
      <c r="O113" t="s">
        <v>152</v>
      </c>
      <c r="P113" t="s">
        <v>256</v>
      </c>
    </row>
    <row r="114" spans="1:16" x14ac:dyDescent="0.3">
      <c r="A114">
        <v>1198</v>
      </c>
      <c r="B114" t="s">
        <v>92</v>
      </c>
      <c r="C114" t="s">
        <v>74</v>
      </c>
      <c r="D114" t="s">
        <v>18</v>
      </c>
      <c r="E114" s="1">
        <v>29618</v>
      </c>
      <c r="F114" s="1">
        <v>45046</v>
      </c>
      <c r="G114">
        <v>30</v>
      </c>
      <c r="H114" t="s">
        <v>257</v>
      </c>
      <c r="I114" t="s">
        <v>20</v>
      </c>
      <c r="J114" t="s">
        <v>46</v>
      </c>
      <c r="K114" t="s">
        <v>22</v>
      </c>
      <c r="L114">
        <v>11400</v>
      </c>
      <c r="M114" t="s">
        <v>32</v>
      </c>
      <c r="N114" s="1"/>
      <c r="O114" t="s">
        <v>33</v>
      </c>
      <c r="P114" t="s">
        <v>258</v>
      </c>
    </row>
    <row r="115" spans="1:16" x14ac:dyDescent="0.3">
      <c r="A115">
        <v>1089</v>
      </c>
      <c r="B115" t="s">
        <v>85</v>
      </c>
      <c r="C115" t="s">
        <v>216</v>
      </c>
      <c r="D115" t="s">
        <v>18</v>
      </c>
      <c r="E115" s="1">
        <v>32970</v>
      </c>
      <c r="F115" s="1">
        <v>43653</v>
      </c>
      <c r="G115">
        <v>20</v>
      </c>
      <c r="H115" t="s">
        <v>104</v>
      </c>
      <c r="I115" t="s">
        <v>30</v>
      </c>
      <c r="J115" t="s">
        <v>21</v>
      </c>
      <c r="K115" t="s">
        <v>22</v>
      </c>
      <c r="L115">
        <v>5100</v>
      </c>
      <c r="M115" t="s">
        <v>32</v>
      </c>
      <c r="N115" s="1"/>
      <c r="O115" t="s">
        <v>33</v>
      </c>
      <c r="P115" t="s">
        <v>259</v>
      </c>
    </row>
    <row r="116" spans="1:16" x14ac:dyDescent="0.3">
      <c r="A116">
        <v>1262</v>
      </c>
      <c r="B116" t="s">
        <v>112</v>
      </c>
      <c r="C116" t="s">
        <v>43</v>
      </c>
      <c r="D116" t="s">
        <v>37</v>
      </c>
      <c r="E116" s="1">
        <v>29378</v>
      </c>
      <c r="F116" s="1">
        <v>45843</v>
      </c>
      <c r="G116">
        <v>10</v>
      </c>
      <c r="H116" t="s">
        <v>108</v>
      </c>
      <c r="I116" t="s">
        <v>39</v>
      </c>
      <c r="J116" t="s">
        <v>21</v>
      </c>
      <c r="K116" t="s">
        <v>40</v>
      </c>
      <c r="L116">
        <v>12900</v>
      </c>
      <c r="M116" t="s">
        <v>23</v>
      </c>
      <c r="N116" s="1">
        <v>45978</v>
      </c>
      <c r="O116" t="s">
        <v>105</v>
      </c>
      <c r="P116" t="s">
        <v>260</v>
      </c>
    </row>
    <row r="117" spans="1:16" x14ac:dyDescent="0.3">
      <c r="A117">
        <v>1025</v>
      </c>
      <c r="B117" t="s">
        <v>125</v>
      </c>
      <c r="C117" t="s">
        <v>171</v>
      </c>
      <c r="D117" t="s">
        <v>18</v>
      </c>
      <c r="E117" s="1">
        <v>31114</v>
      </c>
      <c r="F117" s="1">
        <v>44799</v>
      </c>
      <c r="G117">
        <v>30</v>
      </c>
      <c r="H117" t="s">
        <v>209</v>
      </c>
      <c r="I117" t="s">
        <v>30</v>
      </c>
      <c r="J117" t="s">
        <v>46</v>
      </c>
      <c r="K117" t="s">
        <v>22</v>
      </c>
      <c r="M117" t="s">
        <v>32</v>
      </c>
      <c r="N117" s="1"/>
      <c r="O117" t="s">
        <v>33</v>
      </c>
      <c r="P117" t="s">
        <v>261</v>
      </c>
    </row>
    <row r="118" spans="1:16" x14ac:dyDescent="0.3">
      <c r="A118">
        <v>1112</v>
      </c>
      <c r="B118" t="s">
        <v>48</v>
      </c>
      <c r="C118" t="s">
        <v>216</v>
      </c>
      <c r="D118" t="s">
        <v>18</v>
      </c>
      <c r="E118" s="1">
        <v>33386</v>
      </c>
      <c r="F118" s="1">
        <v>43093</v>
      </c>
      <c r="G118">
        <v>30</v>
      </c>
      <c r="H118" t="s">
        <v>56</v>
      </c>
      <c r="I118" t="s">
        <v>45</v>
      </c>
      <c r="J118" t="s">
        <v>169</v>
      </c>
      <c r="K118" t="s">
        <v>22</v>
      </c>
      <c r="L118">
        <v>5000</v>
      </c>
      <c r="M118" t="s">
        <v>23</v>
      </c>
      <c r="N118" s="1">
        <v>44065</v>
      </c>
      <c r="O118" t="s">
        <v>33</v>
      </c>
      <c r="P118" t="s">
        <v>262</v>
      </c>
    </row>
    <row r="119" spans="1:16" x14ac:dyDescent="0.3">
      <c r="A119">
        <v>1115</v>
      </c>
      <c r="B119" t="s">
        <v>188</v>
      </c>
      <c r="C119" t="s">
        <v>119</v>
      </c>
      <c r="D119" t="s">
        <v>18</v>
      </c>
      <c r="E119" s="1">
        <v>26470</v>
      </c>
      <c r="F119" s="1">
        <v>43133</v>
      </c>
      <c r="G119">
        <v>50</v>
      </c>
      <c r="H119" t="s">
        <v>71</v>
      </c>
      <c r="I119" t="s">
        <v>39</v>
      </c>
      <c r="J119" t="s">
        <v>52</v>
      </c>
      <c r="K119" t="s">
        <v>22</v>
      </c>
      <c r="L119">
        <v>6800</v>
      </c>
      <c r="M119" t="s">
        <v>23</v>
      </c>
      <c r="N119" s="1">
        <v>45249</v>
      </c>
      <c r="O119" t="s">
        <v>33</v>
      </c>
      <c r="P119" t="s">
        <v>263</v>
      </c>
    </row>
    <row r="120" spans="1:16" x14ac:dyDescent="0.3">
      <c r="A120">
        <v>1195</v>
      </c>
      <c r="B120" t="s">
        <v>100</v>
      </c>
      <c r="C120" t="s">
        <v>163</v>
      </c>
      <c r="D120" t="s">
        <v>18</v>
      </c>
      <c r="E120" s="1">
        <v>27826</v>
      </c>
      <c r="F120" s="1">
        <v>43750</v>
      </c>
      <c r="G120">
        <v>60</v>
      </c>
      <c r="H120" t="s">
        <v>78</v>
      </c>
      <c r="I120" t="s">
        <v>39</v>
      </c>
      <c r="J120" t="s">
        <v>264</v>
      </c>
      <c r="K120" t="s">
        <v>22</v>
      </c>
      <c r="L120">
        <v>6000</v>
      </c>
      <c r="M120" t="s">
        <v>32</v>
      </c>
      <c r="N120" s="1"/>
      <c r="O120" t="s">
        <v>33</v>
      </c>
      <c r="P120" t="s">
        <v>265</v>
      </c>
    </row>
    <row r="121" spans="1:16" x14ac:dyDescent="0.3">
      <c r="A121">
        <v>1391</v>
      </c>
      <c r="B121" t="s">
        <v>35</v>
      </c>
      <c r="C121" t="s">
        <v>266</v>
      </c>
      <c r="D121" t="s">
        <v>96</v>
      </c>
      <c r="E121" s="1">
        <v>33183</v>
      </c>
      <c r="F121" s="1">
        <v>43415</v>
      </c>
      <c r="G121">
        <v>60</v>
      </c>
      <c r="H121" t="s">
        <v>78</v>
      </c>
      <c r="I121" t="s">
        <v>30</v>
      </c>
      <c r="J121" t="s">
        <v>31</v>
      </c>
      <c r="K121" t="s">
        <v>22</v>
      </c>
      <c r="M121" t="s">
        <v>32</v>
      </c>
      <c r="N121" s="1"/>
      <c r="O121" t="s">
        <v>33</v>
      </c>
      <c r="P121" t="s">
        <v>267</v>
      </c>
    </row>
    <row r="122" spans="1:16" x14ac:dyDescent="0.3">
      <c r="A122">
        <v>1331</v>
      </c>
      <c r="B122" t="s">
        <v>180</v>
      </c>
      <c r="C122" t="s">
        <v>113</v>
      </c>
      <c r="D122" t="s">
        <v>37</v>
      </c>
      <c r="E122" s="1">
        <v>33366</v>
      </c>
      <c r="F122" s="1">
        <v>42962</v>
      </c>
      <c r="G122">
        <v>10</v>
      </c>
      <c r="H122" t="s">
        <v>49</v>
      </c>
      <c r="I122" t="s">
        <v>30</v>
      </c>
      <c r="J122" t="s">
        <v>21</v>
      </c>
      <c r="K122" t="s">
        <v>22</v>
      </c>
      <c r="L122">
        <v>10100</v>
      </c>
      <c r="M122" t="s">
        <v>32</v>
      </c>
      <c r="N122" s="1"/>
      <c r="O122" t="s">
        <v>33</v>
      </c>
      <c r="P122" t="s">
        <v>268</v>
      </c>
    </row>
    <row r="123" spans="1:16" x14ac:dyDescent="0.3">
      <c r="A123">
        <v>1395</v>
      </c>
      <c r="B123" t="s">
        <v>70</v>
      </c>
      <c r="C123" t="s">
        <v>65</v>
      </c>
      <c r="D123" t="s">
        <v>18</v>
      </c>
      <c r="E123" s="1">
        <v>31670</v>
      </c>
      <c r="F123" s="1">
        <v>43230</v>
      </c>
      <c r="G123">
        <v>20</v>
      </c>
      <c r="H123" t="s">
        <v>68</v>
      </c>
      <c r="I123" t="s">
        <v>30</v>
      </c>
      <c r="J123" t="s">
        <v>21</v>
      </c>
      <c r="K123" t="s">
        <v>22</v>
      </c>
      <c r="L123">
        <v>5800</v>
      </c>
      <c r="M123" t="s">
        <v>23</v>
      </c>
      <c r="N123" s="1">
        <v>45821</v>
      </c>
      <c r="O123" t="s">
        <v>24</v>
      </c>
      <c r="P123" t="s">
        <v>269</v>
      </c>
    </row>
    <row r="124" spans="1:16" x14ac:dyDescent="0.3">
      <c r="A124">
        <v>1032</v>
      </c>
      <c r="B124" t="s">
        <v>122</v>
      </c>
      <c r="C124" t="s">
        <v>144</v>
      </c>
      <c r="D124" t="s">
        <v>37</v>
      </c>
      <c r="E124" s="1">
        <v>31780</v>
      </c>
      <c r="F124" s="1">
        <v>44452</v>
      </c>
      <c r="G124">
        <v>10</v>
      </c>
      <c r="H124" t="s">
        <v>108</v>
      </c>
      <c r="I124" t="s">
        <v>30</v>
      </c>
      <c r="J124" t="s">
        <v>61</v>
      </c>
      <c r="K124" t="s">
        <v>22</v>
      </c>
      <c r="L124">
        <v>7550</v>
      </c>
      <c r="M124" t="s">
        <v>32</v>
      </c>
      <c r="N124" s="1"/>
      <c r="O124" t="s">
        <v>33</v>
      </c>
      <c r="P124" t="s">
        <v>270</v>
      </c>
    </row>
    <row r="125" spans="1:16" x14ac:dyDescent="0.3">
      <c r="A125">
        <v>1334</v>
      </c>
      <c r="B125" t="s">
        <v>89</v>
      </c>
      <c r="C125" t="s">
        <v>27</v>
      </c>
      <c r="D125" t="s">
        <v>37</v>
      </c>
      <c r="E125" s="1">
        <v>30538</v>
      </c>
      <c r="F125" s="1">
        <v>45088</v>
      </c>
      <c r="G125">
        <v>40</v>
      </c>
      <c r="H125" t="s">
        <v>101</v>
      </c>
      <c r="I125" t="s">
        <v>45</v>
      </c>
      <c r="J125" t="s">
        <v>21</v>
      </c>
      <c r="K125" t="s">
        <v>22</v>
      </c>
      <c r="L125">
        <v>3700</v>
      </c>
      <c r="M125" t="s">
        <v>23</v>
      </c>
      <c r="N125" s="1">
        <v>45908</v>
      </c>
      <c r="O125" t="s">
        <v>33</v>
      </c>
      <c r="P125" t="s">
        <v>271</v>
      </c>
    </row>
    <row r="126" spans="1:16" x14ac:dyDescent="0.3">
      <c r="A126">
        <v>1192</v>
      </c>
      <c r="B126" t="s">
        <v>94</v>
      </c>
      <c r="C126" t="s">
        <v>266</v>
      </c>
      <c r="D126" t="s">
        <v>37</v>
      </c>
      <c r="E126" s="1">
        <v>34497</v>
      </c>
      <c r="F126" s="1">
        <v>43667</v>
      </c>
      <c r="G126">
        <v>30</v>
      </c>
      <c r="H126" t="s">
        <v>209</v>
      </c>
      <c r="I126" t="s">
        <v>30</v>
      </c>
      <c r="J126" t="s">
        <v>46</v>
      </c>
      <c r="K126" t="s">
        <v>22</v>
      </c>
      <c r="L126">
        <v>6700</v>
      </c>
      <c r="M126" t="s">
        <v>32</v>
      </c>
      <c r="N126" s="1"/>
      <c r="O126" t="s">
        <v>33</v>
      </c>
      <c r="P126" t="s">
        <v>272</v>
      </c>
    </row>
    <row r="127" spans="1:16" x14ac:dyDescent="0.3">
      <c r="A127">
        <v>1434</v>
      </c>
      <c r="B127" t="s">
        <v>85</v>
      </c>
      <c r="C127" t="s">
        <v>273</v>
      </c>
      <c r="D127" t="s">
        <v>18</v>
      </c>
      <c r="E127" s="1">
        <v>32860</v>
      </c>
      <c r="F127" s="1">
        <v>44674</v>
      </c>
      <c r="G127">
        <v>60</v>
      </c>
      <c r="H127" t="s">
        <v>78</v>
      </c>
      <c r="I127" t="s">
        <v>39</v>
      </c>
      <c r="J127" t="s">
        <v>52</v>
      </c>
      <c r="K127" t="s">
        <v>22</v>
      </c>
      <c r="L127">
        <v>5600</v>
      </c>
      <c r="M127" t="s">
        <v>23</v>
      </c>
      <c r="N127" s="1">
        <v>45513</v>
      </c>
      <c r="O127" t="s">
        <v>186</v>
      </c>
      <c r="P127" t="s">
        <v>274</v>
      </c>
    </row>
    <row r="128" spans="1:16" x14ac:dyDescent="0.3">
      <c r="A128">
        <v>1171</v>
      </c>
      <c r="B128" t="s">
        <v>64</v>
      </c>
      <c r="C128" t="s">
        <v>131</v>
      </c>
      <c r="D128" t="s">
        <v>18</v>
      </c>
      <c r="E128" s="1">
        <v>31869</v>
      </c>
      <c r="F128" s="1">
        <v>44512</v>
      </c>
      <c r="G128">
        <v>10</v>
      </c>
      <c r="H128" t="s">
        <v>275</v>
      </c>
      <c r="I128" t="s">
        <v>20</v>
      </c>
      <c r="J128" t="s">
        <v>21</v>
      </c>
      <c r="K128" t="s">
        <v>22</v>
      </c>
      <c r="L128">
        <v>14250</v>
      </c>
      <c r="M128" t="s">
        <v>32</v>
      </c>
      <c r="N128" s="1"/>
      <c r="O128" t="s">
        <v>33</v>
      </c>
      <c r="P128" t="s">
        <v>276</v>
      </c>
    </row>
    <row r="129" spans="1:16" x14ac:dyDescent="0.3">
      <c r="A129">
        <v>1181</v>
      </c>
      <c r="B129" t="s">
        <v>64</v>
      </c>
      <c r="C129" t="s">
        <v>103</v>
      </c>
      <c r="D129" t="s">
        <v>37</v>
      </c>
      <c r="E129" s="1">
        <v>27549</v>
      </c>
      <c r="F129" s="1">
        <v>43793</v>
      </c>
      <c r="G129">
        <v>70</v>
      </c>
      <c r="H129" t="s">
        <v>38</v>
      </c>
      <c r="I129" t="s">
        <v>39</v>
      </c>
      <c r="J129" t="s">
        <v>31</v>
      </c>
      <c r="K129" t="s">
        <v>22</v>
      </c>
      <c r="L129">
        <v>7200</v>
      </c>
      <c r="M129" t="s">
        <v>32</v>
      </c>
      <c r="N129" s="1"/>
      <c r="O129" t="s">
        <v>33</v>
      </c>
      <c r="P129" t="s">
        <v>277</v>
      </c>
    </row>
    <row r="130" spans="1:16" x14ac:dyDescent="0.3">
      <c r="A130">
        <v>1165</v>
      </c>
      <c r="B130" t="s">
        <v>35</v>
      </c>
      <c r="C130" t="s">
        <v>163</v>
      </c>
      <c r="D130" t="s">
        <v>18</v>
      </c>
      <c r="E130" s="1">
        <v>32804</v>
      </c>
      <c r="F130" s="1">
        <v>45569</v>
      </c>
      <c r="G130">
        <v>60</v>
      </c>
      <c r="H130" t="s">
        <v>78</v>
      </c>
      <c r="I130" t="s">
        <v>39</v>
      </c>
      <c r="J130" t="s">
        <v>132</v>
      </c>
      <c r="K130" t="s">
        <v>22</v>
      </c>
      <c r="L130">
        <v>5850</v>
      </c>
      <c r="M130" t="s">
        <v>23</v>
      </c>
      <c r="N130" s="1">
        <v>45947</v>
      </c>
      <c r="O130" t="s">
        <v>152</v>
      </c>
      <c r="P130" t="s">
        <v>278</v>
      </c>
    </row>
    <row r="131" spans="1:16" x14ac:dyDescent="0.3">
      <c r="A131">
        <v>1228</v>
      </c>
      <c r="B131" t="s">
        <v>136</v>
      </c>
      <c r="C131" t="s">
        <v>131</v>
      </c>
      <c r="D131" t="s">
        <v>18</v>
      </c>
      <c r="E131" s="1">
        <v>32615</v>
      </c>
      <c r="F131" s="1">
        <v>42791</v>
      </c>
      <c r="G131">
        <v>50</v>
      </c>
      <c r="H131" t="s">
        <v>71</v>
      </c>
      <c r="I131" t="s">
        <v>45</v>
      </c>
      <c r="J131" t="s">
        <v>52</v>
      </c>
      <c r="K131" t="s">
        <v>22</v>
      </c>
      <c r="L131">
        <v>5100</v>
      </c>
      <c r="M131" t="s">
        <v>23</v>
      </c>
      <c r="N131" s="1">
        <v>45177</v>
      </c>
      <c r="O131" t="s">
        <v>24</v>
      </c>
      <c r="P131" t="s">
        <v>279</v>
      </c>
    </row>
    <row r="132" spans="1:16" x14ac:dyDescent="0.3">
      <c r="A132">
        <v>1176</v>
      </c>
      <c r="B132" t="s">
        <v>73</v>
      </c>
      <c r="C132" t="s">
        <v>280</v>
      </c>
      <c r="D132" t="s">
        <v>18</v>
      </c>
      <c r="E132" s="1">
        <v>31911</v>
      </c>
      <c r="F132" s="1">
        <v>43615</v>
      </c>
      <c r="G132">
        <v>10</v>
      </c>
      <c r="H132" t="s">
        <v>44</v>
      </c>
      <c r="I132" t="s">
        <v>30</v>
      </c>
      <c r="J132" t="s">
        <v>52</v>
      </c>
      <c r="K132" t="s">
        <v>22</v>
      </c>
      <c r="L132">
        <v>8800</v>
      </c>
      <c r="M132" t="s">
        <v>32</v>
      </c>
      <c r="N132" s="1"/>
      <c r="O132" t="s">
        <v>33</v>
      </c>
      <c r="P132" t="s">
        <v>281</v>
      </c>
    </row>
    <row r="133" spans="1:16" x14ac:dyDescent="0.3">
      <c r="A133">
        <v>1263</v>
      </c>
      <c r="B133" t="s">
        <v>180</v>
      </c>
      <c r="C133" t="s">
        <v>282</v>
      </c>
      <c r="D133" t="s">
        <v>37</v>
      </c>
      <c r="E133" s="1">
        <v>33842</v>
      </c>
      <c r="F133" s="1">
        <v>44909</v>
      </c>
      <c r="G133">
        <v>20</v>
      </c>
      <c r="H133" t="s">
        <v>68</v>
      </c>
      <c r="I133" t="s">
        <v>30</v>
      </c>
      <c r="J133" t="s">
        <v>21</v>
      </c>
      <c r="K133" t="s">
        <v>22</v>
      </c>
      <c r="L133">
        <v>5000</v>
      </c>
      <c r="M133" t="s">
        <v>32</v>
      </c>
      <c r="N133" s="1"/>
      <c r="O133" t="s">
        <v>33</v>
      </c>
      <c r="P133" t="s">
        <v>283</v>
      </c>
    </row>
    <row r="134" spans="1:16" x14ac:dyDescent="0.3">
      <c r="A134">
        <v>1249</v>
      </c>
      <c r="B134" t="s">
        <v>26</v>
      </c>
      <c r="C134" t="s">
        <v>247</v>
      </c>
      <c r="D134" t="s">
        <v>18</v>
      </c>
      <c r="E134" s="1">
        <v>34579</v>
      </c>
      <c r="F134" s="1">
        <v>43820</v>
      </c>
      <c r="G134">
        <v>30</v>
      </c>
      <c r="H134" t="s">
        <v>209</v>
      </c>
      <c r="I134" t="s">
        <v>45</v>
      </c>
      <c r="J134" t="s">
        <v>284</v>
      </c>
      <c r="K134" t="s">
        <v>22</v>
      </c>
      <c r="L134">
        <v>3950</v>
      </c>
      <c r="M134" t="s">
        <v>32</v>
      </c>
      <c r="N134" s="1"/>
      <c r="O134" t="s">
        <v>33</v>
      </c>
      <c r="P134" t="s">
        <v>285</v>
      </c>
    </row>
    <row r="135" spans="1:16" x14ac:dyDescent="0.3">
      <c r="A135">
        <v>1438</v>
      </c>
      <c r="B135" t="s">
        <v>54</v>
      </c>
      <c r="C135" t="s">
        <v>206</v>
      </c>
      <c r="D135" t="s">
        <v>18</v>
      </c>
      <c r="E135" s="1">
        <v>33496</v>
      </c>
      <c r="F135" s="1">
        <v>42888</v>
      </c>
      <c r="G135">
        <v>20</v>
      </c>
      <c r="H135" t="s">
        <v>68</v>
      </c>
      <c r="I135" t="s">
        <v>30</v>
      </c>
      <c r="J135" t="s">
        <v>21</v>
      </c>
      <c r="K135" t="s">
        <v>22</v>
      </c>
      <c r="L135">
        <v>5550</v>
      </c>
      <c r="M135" t="s">
        <v>32</v>
      </c>
      <c r="N135" s="1"/>
      <c r="O135" t="s">
        <v>33</v>
      </c>
      <c r="P135" t="s">
        <v>286</v>
      </c>
    </row>
    <row r="136" spans="1:16" x14ac:dyDescent="0.3">
      <c r="A136">
        <v>1269</v>
      </c>
      <c r="B136" t="s">
        <v>150</v>
      </c>
      <c r="C136" t="s">
        <v>247</v>
      </c>
      <c r="D136" t="s">
        <v>18</v>
      </c>
      <c r="E136" s="1">
        <v>33609</v>
      </c>
      <c r="F136" s="1">
        <v>44552</v>
      </c>
      <c r="G136">
        <v>50</v>
      </c>
      <c r="H136" t="s">
        <v>71</v>
      </c>
      <c r="I136" t="s">
        <v>45</v>
      </c>
      <c r="J136" t="s">
        <v>52</v>
      </c>
      <c r="K136" t="s">
        <v>22</v>
      </c>
      <c r="L136">
        <v>5150</v>
      </c>
      <c r="M136" t="s">
        <v>32</v>
      </c>
      <c r="N136" s="1"/>
      <c r="O136" t="s">
        <v>33</v>
      </c>
      <c r="P136" t="s">
        <v>287</v>
      </c>
    </row>
    <row r="137" spans="1:16" x14ac:dyDescent="0.3">
      <c r="A137">
        <v>1129</v>
      </c>
      <c r="B137" t="s">
        <v>94</v>
      </c>
      <c r="C137" t="s">
        <v>103</v>
      </c>
      <c r="D137" t="s">
        <v>37</v>
      </c>
      <c r="E137" s="1">
        <v>36034</v>
      </c>
      <c r="F137" s="1">
        <v>45013</v>
      </c>
      <c r="G137">
        <v>10</v>
      </c>
      <c r="H137" t="s">
        <v>49</v>
      </c>
      <c r="I137" t="s">
        <v>45</v>
      </c>
      <c r="J137" t="s">
        <v>46</v>
      </c>
      <c r="K137" t="s">
        <v>22</v>
      </c>
      <c r="L137">
        <v>6050</v>
      </c>
      <c r="M137" t="s">
        <v>23</v>
      </c>
      <c r="N137" s="1">
        <v>45949</v>
      </c>
      <c r="O137" t="s">
        <v>105</v>
      </c>
      <c r="P137" t="s">
        <v>288</v>
      </c>
    </row>
    <row r="138" spans="1:16" x14ac:dyDescent="0.3">
      <c r="A138">
        <v>1458</v>
      </c>
      <c r="B138" t="s">
        <v>134</v>
      </c>
      <c r="C138" t="s">
        <v>247</v>
      </c>
      <c r="D138" t="s">
        <v>18</v>
      </c>
      <c r="E138" s="1">
        <v>31327</v>
      </c>
      <c r="F138" s="1">
        <v>43317</v>
      </c>
      <c r="G138">
        <v>60</v>
      </c>
      <c r="H138" t="s">
        <v>29</v>
      </c>
      <c r="I138" t="s">
        <v>30</v>
      </c>
      <c r="J138" t="s">
        <v>52</v>
      </c>
      <c r="K138" t="s">
        <v>22</v>
      </c>
      <c r="L138">
        <v>3450</v>
      </c>
      <c r="M138" t="s">
        <v>32</v>
      </c>
      <c r="N138" s="1"/>
      <c r="O138" t="s">
        <v>33</v>
      </c>
      <c r="P138" t="s">
        <v>289</v>
      </c>
    </row>
    <row r="139" spans="1:16" x14ac:dyDescent="0.3">
      <c r="A139">
        <v>1124</v>
      </c>
      <c r="B139" t="s">
        <v>85</v>
      </c>
      <c r="C139" t="s">
        <v>43</v>
      </c>
      <c r="D139" t="s">
        <v>37</v>
      </c>
      <c r="E139" s="1">
        <v>34593</v>
      </c>
      <c r="F139" s="1">
        <v>43723</v>
      </c>
      <c r="G139">
        <v>20</v>
      </c>
      <c r="H139" t="s">
        <v>104</v>
      </c>
      <c r="I139" t="s">
        <v>214</v>
      </c>
      <c r="J139" t="s">
        <v>61</v>
      </c>
      <c r="K139" t="s">
        <v>22</v>
      </c>
      <c r="L139">
        <v>3450</v>
      </c>
      <c r="M139" t="s">
        <v>32</v>
      </c>
      <c r="N139" s="1"/>
      <c r="O139" t="s">
        <v>33</v>
      </c>
      <c r="P139" t="s">
        <v>290</v>
      </c>
    </row>
    <row r="140" spans="1:16" x14ac:dyDescent="0.3">
      <c r="A140">
        <v>1328</v>
      </c>
      <c r="B140" t="s">
        <v>150</v>
      </c>
      <c r="C140" t="s">
        <v>200</v>
      </c>
      <c r="D140" t="s">
        <v>221</v>
      </c>
      <c r="E140" s="1">
        <v>34238</v>
      </c>
      <c r="F140" s="1">
        <v>44831</v>
      </c>
      <c r="G140">
        <v>30</v>
      </c>
      <c r="H140" t="s">
        <v>209</v>
      </c>
      <c r="I140" t="s">
        <v>39</v>
      </c>
      <c r="J140" t="s">
        <v>169</v>
      </c>
      <c r="K140" t="s">
        <v>22</v>
      </c>
      <c r="L140">
        <v>10450</v>
      </c>
      <c r="M140" t="s">
        <v>32</v>
      </c>
      <c r="N140" s="1"/>
      <c r="O140" t="s">
        <v>33</v>
      </c>
      <c r="P140" t="s">
        <v>291</v>
      </c>
    </row>
    <row r="141" spans="1:16" x14ac:dyDescent="0.3">
      <c r="A141">
        <v>1289</v>
      </c>
      <c r="B141" t="s">
        <v>134</v>
      </c>
      <c r="C141" t="s">
        <v>200</v>
      </c>
      <c r="D141" t="s">
        <v>18</v>
      </c>
      <c r="E141" s="1">
        <v>29810</v>
      </c>
      <c r="F141" s="1">
        <v>44133</v>
      </c>
      <c r="G141">
        <v>60</v>
      </c>
      <c r="H141" t="s">
        <v>19</v>
      </c>
      <c r="I141" t="s">
        <v>20</v>
      </c>
      <c r="J141" t="s">
        <v>52</v>
      </c>
      <c r="K141" t="s">
        <v>22</v>
      </c>
      <c r="L141">
        <v>8600</v>
      </c>
      <c r="M141" t="s">
        <v>32</v>
      </c>
      <c r="N141" s="1"/>
      <c r="O141" t="s">
        <v>33</v>
      </c>
      <c r="P141" t="s">
        <v>292</v>
      </c>
    </row>
    <row r="142" spans="1:16" x14ac:dyDescent="0.3">
      <c r="A142">
        <v>1234</v>
      </c>
      <c r="B142" t="s">
        <v>48</v>
      </c>
      <c r="C142" t="s">
        <v>163</v>
      </c>
      <c r="D142" t="s">
        <v>18</v>
      </c>
      <c r="E142" s="1">
        <v>33710</v>
      </c>
      <c r="F142" s="1">
        <v>43059</v>
      </c>
      <c r="G142">
        <v>10</v>
      </c>
      <c r="H142" t="s">
        <v>49</v>
      </c>
      <c r="I142" t="s">
        <v>45</v>
      </c>
      <c r="J142" t="s">
        <v>21</v>
      </c>
      <c r="K142" t="s">
        <v>40</v>
      </c>
      <c r="L142">
        <v>6550</v>
      </c>
      <c r="M142" t="s">
        <v>23</v>
      </c>
      <c r="N142" s="1">
        <v>45180</v>
      </c>
      <c r="O142" t="s">
        <v>105</v>
      </c>
      <c r="P142" t="s">
        <v>293</v>
      </c>
    </row>
    <row r="143" spans="1:16" x14ac:dyDescent="0.3">
      <c r="A143">
        <v>1099</v>
      </c>
      <c r="B143" t="s">
        <v>54</v>
      </c>
      <c r="C143" t="s">
        <v>198</v>
      </c>
      <c r="D143" t="s">
        <v>18</v>
      </c>
      <c r="E143" s="1">
        <v>33476</v>
      </c>
      <c r="F143" s="1">
        <v>42403</v>
      </c>
      <c r="G143">
        <v>10</v>
      </c>
      <c r="H143" t="s">
        <v>87</v>
      </c>
      <c r="I143" t="s">
        <v>45</v>
      </c>
      <c r="J143" t="s">
        <v>61</v>
      </c>
      <c r="K143" t="s">
        <v>22</v>
      </c>
      <c r="L143">
        <v>6350</v>
      </c>
      <c r="M143" t="s">
        <v>32</v>
      </c>
      <c r="N143" s="1"/>
      <c r="O143" t="s">
        <v>33</v>
      </c>
      <c r="P143" t="s">
        <v>294</v>
      </c>
    </row>
    <row r="144" spans="1:16" x14ac:dyDescent="0.3">
      <c r="A144">
        <v>1240</v>
      </c>
      <c r="B144" t="s">
        <v>157</v>
      </c>
      <c r="C144" t="s">
        <v>171</v>
      </c>
      <c r="D144" t="s">
        <v>18</v>
      </c>
      <c r="E144" s="1">
        <v>35144</v>
      </c>
      <c r="F144" s="1">
        <v>42925</v>
      </c>
      <c r="G144">
        <v>20</v>
      </c>
      <c r="H144" t="s">
        <v>104</v>
      </c>
      <c r="I144" t="s">
        <v>214</v>
      </c>
      <c r="J144" t="s">
        <v>21</v>
      </c>
      <c r="K144" t="s">
        <v>22</v>
      </c>
      <c r="L144">
        <v>3500</v>
      </c>
      <c r="M144" t="s">
        <v>32</v>
      </c>
      <c r="N144" s="1"/>
      <c r="O144" t="s">
        <v>33</v>
      </c>
      <c r="P144" t="s">
        <v>295</v>
      </c>
    </row>
    <row r="145" spans="1:16" x14ac:dyDescent="0.3">
      <c r="A145">
        <v>1288</v>
      </c>
      <c r="B145" t="s">
        <v>188</v>
      </c>
      <c r="C145" t="s">
        <v>110</v>
      </c>
      <c r="D145" t="s">
        <v>37</v>
      </c>
      <c r="E145" s="1">
        <v>32306</v>
      </c>
      <c r="F145" s="1">
        <v>43167</v>
      </c>
      <c r="G145">
        <v>70</v>
      </c>
      <c r="H145" t="s">
        <v>116</v>
      </c>
      <c r="I145" t="s">
        <v>45</v>
      </c>
      <c r="J145" t="s">
        <v>296</v>
      </c>
      <c r="K145" t="s">
        <v>22</v>
      </c>
      <c r="L145">
        <v>4400</v>
      </c>
      <c r="M145" t="s">
        <v>23</v>
      </c>
      <c r="N145" s="1">
        <v>44584</v>
      </c>
      <c r="O145" t="s">
        <v>117</v>
      </c>
      <c r="P145" t="s">
        <v>297</v>
      </c>
    </row>
    <row r="146" spans="1:16" x14ac:dyDescent="0.3">
      <c r="A146">
        <v>1158</v>
      </c>
      <c r="B146" t="s">
        <v>188</v>
      </c>
      <c r="C146" t="s">
        <v>213</v>
      </c>
      <c r="D146" t="s">
        <v>18</v>
      </c>
      <c r="E146" s="1">
        <v>32819</v>
      </c>
      <c r="F146" s="1">
        <v>45071</v>
      </c>
      <c r="G146">
        <v>10</v>
      </c>
      <c r="H146" t="s">
        <v>275</v>
      </c>
      <c r="I146" t="s">
        <v>20</v>
      </c>
      <c r="J146" t="s">
        <v>21</v>
      </c>
      <c r="K146" t="s">
        <v>22</v>
      </c>
      <c r="L146">
        <v>17450</v>
      </c>
      <c r="M146" t="s">
        <v>23</v>
      </c>
      <c r="N146" s="1">
        <v>45996</v>
      </c>
      <c r="O146" t="s">
        <v>33</v>
      </c>
      <c r="P146" t="s">
        <v>298</v>
      </c>
    </row>
    <row r="147" spans="1:16" x14ac:dyDescent="0.3">
      <c r="A147">
        <v>1187</v>
      </c>
      <c r="B147" t="s">
        <v>180</v>
      </c>
      <c r="C147" t="s">
        <v>110</v>
      </c>
      <c r="D147" t="s">
        <v>55</v>
      </c>
      <c r="E147" s="1">
        <v>29944</v>
      </c>
      <c r="F147" s="1">
        <v>44487</v>
      </c>
      <c r="G147">
        <v>30</v>
      </c>
      <c r="H147" t="s">
        <v>56</v>
      </c>
      <c r="I147" t="s">
        <v>39</v>
      </c>
      <c r="J147" t="s">
        <v>46</v>
      </c>
      <c r="K147" t="s">
        <v>22</v>
      </c>
      <c r="L147">
        <v>8800</v>
      </c>
      <c r="M147" t="s">
        <v>32</v>
      </c>
      <c r="N147" s="1"/>
      <c r="O147" t="s">
        <v>33</v>
      </c>
      <c r="P147" t="s">
        <v>299</v>
      </c>
    </row>
    <row r="148" spans="1:16" x14ac:dyDescent="0.3">
      <c r="A148">
        <v>1210</v>
      </c>
      <c r="B148" t="s">
        <v>80</v>
      </c>
      <c r="C148" t="s">
        <v>36</v>
      </c>
      <c r="D148" t="s">
        <v>37</v>
      </c>
      <c r="E148" s="1">
        <v>29824</v>
      </c>
      <c r="F148" s="1">
        <v>45395</v>
      </c>
      <c r="G148">
        <v>30</v>
      </c>
      <c r="H148" t="s">
        <v>56</v>
      </c>
      <c r="I148" t="s">
        <v>30</v>
      </c>
      <c r="J148" t="s">
        <v>46</v>
      </c>
      <c r="K148" t="s">
        <v>40</v>
      </c>
      <c r="L148">
        <v>5900</v>
      </c>
      <c r="M148" t="s">
        <v>32</v>
      </c>
      <c r="N148" s="1"/>
      <c r="O148" t="s">
        <v>33</v>
      </c>
      <c r="P148" t="s">
        <v>300</v>
      </c>
    </row>
    <row r="149" spans="1:16" x14ac:dyDescent="0.3">
      <c r="A149">
        <v>1147</v>
      </c>
      <c r="B149" t="s">
        <v>164</v>
      </c>
      <c r="C149" t="s">
        <v>65</v>
      </c>
      <c r="D149" t="s">
        <v>18</v>
      </c>
      <c r="E149" s="1">
        <v>31316</v>
      </c>
      <c r="F149" s="1">
        <v>42662</v>
      </c>
      <c r="G149">
        <v>40</v>
      </c>
      <c r="H149" t="s">
        <v>120</v>
      </c>
      <c r="I149" t="s">
        <v>30</v>
      </c>
      <c r="J149" t="s">
        <v>21</v>
      </c>
      <c r="K149" t="s">
        <v>22</v>
      </c>
      <c r="L149">
        <v>4850</v>
      </c>
      <c r="M149" t="s">
        <v>32</v>
      </c>
      <c r="N149" s="1"/>
      <c r="O149" t="s">
        <v>33</v>
      </c>
      <c r="P149" t="s">
        <v>223</v>
      </c>
    </row>
    <row r="150" spans="1:16" x14ac:dyDescent="0.3">
      <c r="A150">
        <v>1244</v>
      </c>
      <c r="B150" t="s">
        <v>92</v>
      </c>
      <c r="C150" t="s">
        <v>36</v>
      </c>
      <c r="D150" t="s">
        <v>37</v>
      </c>
      <c r="E150" s="1">
        <v>29448</v>
      </c>
      <c r="F150" s="1">
        <v>42669</v>
      </c>
      <c r="G150">
        <v>60</v>
      </c>
      <c r="H150" t="s">
        <v>29</v>
      </c>
      <c r="I150" t="s">
        <v>39</v>
      </c>
      <c r="J150" t="s">
        <v>191</v>
      </c>
      <c r="K150" t="s">
        <v>40</v>
      </c>
      <c r="L150">
        <v>6850</v>
      </c>
      <c r="M150" t="s">
        <v>23</v>
      </c>
      <c r="N150" s="1">
        <v>43120</v>
      </c>
      <c r="O150" t="s">
        <v>62</v>
      </c>
      <c r="P150" t="s">
        <v>192</v>
      </c>
    </row>
    <row r="151" spans="1:16" x14ac:dyDescent="0.3">
      <c r="A151">
        <v>1346</v>
      </c>
      <c r="B151" t="s">
        <v>80</v>
      </c>
      <c r="C151" t="s">
        <v>247</v>
      </c>
      <c r="D151" t="s">
        <v>18</v>
      </c>
      <c r="E151" s="1">
        <v>29113</v>
      </c>
      <c r="F151" s="1">
        <v>45658</v>
      </c>
      <c r="G151">
        <v>20</v>
      </c>
      <c r="H151" t="s">
        <v>68</v>
      </c>
      <c r="I151" t="s">
        <v>39</v>
      </c>
      <c r="J151" t="s">
        <v>52</v>
      </c>
      <c r="K151" t="s">
        <v>22</v>
      </c>
      <c r="L151">
        <v>8150</v>
      </c>
      <c r="M151" t="s">
        <v>301</v>
      </c>
      <c r="N151" s="1">
        <v>45988</v>
      </c>
      <c r="O151" t="s">
        <v>117</v>
      </c>
      <c r="P151" t="s">
        <v>302</v>
      </c>
    </row>
    <row r="152" spans="1:16" x14ac:dyDescent="0.3">
      <c r="A152">
        <v>1292</v>
      </c>
      <c r="B152" t="s">
        <v>64</v>
      </c>
      <c r="C152" t="s">
        <v>103</v>
      </c>
      <c r="D152" t="s">
        <v>37</v>
      </c>
      <c r="E152" s="1">
        <v>34319</v>
      </c>
      <c r="F152" s="1">
        <v>42677</v>
      </c>
      <c r="G152">
        <v>70</v>
      </c>
      <c r="H152" t="s">
        <v>38</v>
      </c>
      <c r="I152" t="s">
        <v>45</v>
      </c>
      <c r="J152" t="s">
        <v>21</v>
      </c>
      <c r="K152" t="s">
        <v>22</v>
      </c>
      <c r="L152">
        <v>3600</v>
      </c>
      <c r="M152" t="s">
        <v>23</v>
      </c>
      <c r="N152" s="1">
        <v>45597</v>
      </c>
      <c r="O152" t="s">
        <v>186</v>
      </c>
      <c r="P152" t="s">
        <v>303</v>
      </c>
    </row>
    <row r="153" spans="1:16" x14ac:dyDescent="0.3">
      <c r="A153">
        <v>1304</v>
      </c>
      <c r="B153" t="s">
        <v>67</v>
      </c>
      <c r="C153" t="s">
        <v>198</v>
      </c>
      <c r="D153" t="s">
        <v>18</v>
      </c>
      <c r="E153" s="1">
        <v>30598</v>
      </c>
      <c r="F153" s="1">
        <v>45418</v>
      </c>
      <c r="G153">
        <v>60</v>
      </c>
      <c r="H153" t="s">
        <v>29</v>
      </c>
      <c r="I153" t="s">
        <v>45</v>
      </c>
      <c r="J153" t="s">
        <v>52</v>
      </c>
      <c r="K153" t="s">
        <v>22</v>
      </c>
      <c r="L153">
        <v>2750</v>
      </c>
      <c r="M153" t="s">
        <v>32</v>
      </c>
      <c r="N153" s="1"/>
      <c r="O153" t="s">
        <v>33</v>
      </c>
      <c r="P153" t="s">
        <v>304</v>
      </c>
    </row>
    <row r="154" spans="1:16" x14ac:dyDescent="0.3">
      <c r="A154">
        <v>1349</v>
      </c>
      <c r="B154" t="s">
        <v>54</v>
      </c>
      <c r="C154" t="s">
        <v>65</v>
      </c>
      <c r="D154" t="s">
        <v>18</v>
      </c>
      <c r="E154" s="1">
        <v>33307</v>
      </c>
      <c r="F154" s="1">
        <v>43754</v>
      </c>
      <c r="G154">
        <v>10</v>
      </c>
      <c r="H154" t="s">
        <v>49</v>
      </c>
      <c r="I154" t="s">
        <v>45</v>
      </c>
      <c r="J154" t="s">
        <v>21</v>
      </c>
      <c r="K154" t="s">
        <v>40</v>
      </c>
      <c r="L154">
        <v>5900</v>
      </c>
      <c r="M154" t="s">
        <v>32</v>
      </c>
      <c r="N154" s="1"/>
      <c r="O154" t="s">
        <v>33</v>
      </c>
      <c r="P154" t="s">
        <v>305</v>
      </c>
    </row>
    <row r="155" spans="1:16" x14ac:dyDescent="0.3">
      <c r="A155">
        <v>1419</v>
      </c>
      <c r="B155" t="s">
        <v>164</v>
      </c>
      <c r="C155" t="s">
        <v>119</v>
      </c>
      <c r="D155" t="s">
        <v>18</v>
      </c>
      <c r="E155" s="1">
        <v>30647</v>
      </c>
      <c r="F155" s="1">
        <v>44906</v>
      </c>
      <c r="G155">
        <v>20</v>
      </c>
      <c r="H155" t="s">
        <v>104</v>
      </c>
      <c r="I155" t="s">
        <v>30</v>
      </c>
      <c r="J155" t="s">
        <v>21</v>
      </c>
      <c r="K155" t="s">
        <v>22</v>
      </c>
      <c r="L155">
        <v>5400</v>
      </c>
      <c r="M155" t="s">
        <v>32</v>
      </c>
      <c r="N155" s="1"/>
      <c r="O155" t="s">
        <v>33</v>
      </c>
      <c r="P155" t="s">
        <v>306</v>
      </c>
    </row>
    <row r="156" spans="1:16" x14ac:dyDescent="0.3">
      <c r="A156">
        <v>1444</v>
      </c>
      <c r="B156" t="s">
        <v>115</v>
      </c>
      <c r="C156" t="s">
        <v>247</v>
      </c>
      <c r="D156" t="s">
        <v>18</v>
      </c>
      <c r="E156" s="1">
        <v>36204</v>
      </c>
      <c r="F156" s="1">
        <v>45631</v>
      </c>
      <c r="G156">
        <v>60</v>
      </c>
      <c r="H156" t="s">
        <v>78</v>
      </c>
      <c r="I156" t="s">
        <v>45</v>
      </c>
      <c r="J156" t="s">
        <v>21</v>
      </c>
      <c r="K156" t="s">
        <v>40</v>
      </c>
      <c r="L156">
        <v>3150</v>
      </c>
      <c r="M156" t="s">
        <v>32</v>
      </c>
      <c r="N156" s="1"/>
      <c r="O156" t="s">
        <v>33</v>
      </c>
      <c r="P156" t="s">
        <v>307</v>
      </c>
    </row>
    <row r="157" spans="1:16" x14ac:dyDescent="0.3">
      <c r="A157">
        <v>1109</v>
      </c>
      <c r="B157" t="s">
        <v>134</v>
      </c>
      <c r="C157" t="s">
        <v>65</v>
      </c>
      <c r="D157" t="s">
        <v>18</v>
      </c>
      <c r="E157" s="1">
        <v>28668</v>
      </c>
      <c r="F157" s="1">
        <v>45846</v>
      </c>
      <c r="G157">
        <v>50</v>
      </c>
      <c r="H157" t="s">
        <v>71</v>
      </c>
      <c r="I157" t="s">
        <v>30</v>
      </c>
      <c r="J157" t="s">
        <v>52</v>
      </c>
      <c r="K157" t="s">
        <v>22</v>
      </c>
      <c r="L157">
        <v>6350</v>
      </c>
      <c r="M157" t="s">
        <v>32</v>
      </c>
      <c r="N157" s="1"/>
      <c r="O157" t="s">
        <v>33</v>
      </c>
      <c r="P157" t="s">
        <v>308</v>
      </c>
    </row>
    <row r="158" spans="1:16" x14ac:dyDescent="0.3">
      <c r="A158">
        <v>1422</v>
      </c>
      <c r="B158" t="s">
        <v>58</v>
      </c>
      <c r="C158" t="s">
        <v>144</v>
      </c>
      <c r="D158" t="s">
        <v>37</v>
      </c>
      <c r="E158" s="1">
        <v>29620</v>
      </c>
      <c r="F158" s="1">
        <v>43551</v>
      </c>
      <c r="G158">
        <v>10</v>
      </c>
      <c r="H158" t="s">
        <v>44</v>
      </c>
      <c r="I158" t="s">
        <v>45</v>
      </c>
      <c r="J158" t="s">
        <v>21</v>
      </c>
      <c r="K158" t="s">
        <v>22</v>
      </c>
      <c r="L158">
        <v>5700</v>
      </c>
      <c r="M158" t="s">
        <v>23</v>
      </c>
      <c r="N158" s="1">
        <v>45015</v>
      </c>
      <c r="O158" t="s">
        <v>117</v>
      </c>
      <c r="P158" t="s">
        <v>309</v>
      </c>
    </row>
    <row r="159" spans="1:16" x14ac:dyDescent="0.3">
      <c r="A159">
        <v>1245</v>
      </c>
      <c r="B159" t="s">
        <v>35</v>
      </c>
      <c r="C159" t="s">
        <v>206</v>
      </c>
      <c r="D159" t="s">
        <v>18</v>
      </c>
      <c r="E159" s="1">
        <v>34829</v>
      </c>
      <c r="F159" s="1">
        <v>43524</v>
      </c>
      <c r="G159">
        <v>10</v>
      </c>
      <c r="H159" t="s">
        <v>108</v>
      </c>
      <c r="I159" t="s">
        <v>45</v>
      </c>
      <c r="J159" t="s">
        <v>21</v>
      </c>
      <c r="K159" t="s">
        <v>22</v>
      </c>
      <c r="L159">
        <v>4800</v>
      </c>
      <c r="M159" t="s">
        <v>32</v>
      </c>
      <c r="N159" s="1"/>
      <c r="O159" t="s">
        <v>33</v>
      </c>
      <c r="P159" t="s">
        <v>310</v>
      </c>
    </row>
    <row r="160" spans="1:16" x14ac:dyDescent="0.3">
      <c r="A160">
        <v>1272</v>
      </c>
      <c r="B160" t="s">
        <v>157</v>
      </c>
      <c r="C160" t="s">
        <v>81</v>
      </c>
      <c r="D160" t="s">
        <v>37</v>
      </c>
      <c r="E160" s="1">
        <v>33295</v>
      </c>
      <c r="F160" s="1">
        <v>43760</v>
      </c>
      <c r="G160">
        <v>60</v>
      </c>
      <c r="H160" t="s">
        <v>78</v>
      </c>
      <c r="I160" t="s">
        <v>45</v>
      </c>
      <c r="J160" t="s">
        <v>52</v>
      </c>
      <c r="K160" t="s">
        <v>22</v>
      </c>
      <c r="M160" t="s">
        <v>32</v>
      </c>
      <c r="N160" s="1"/>
      <c r="O160" t="s">
        <v>33</v>
      </c>
      <c r="P160" t="s">
        <v>311</v>
      </c>
    </row>
    <row r="161" spans="1:16" x14ac:dyDescent="0.3">
      <c r="A161">
        <v>1387</v>
      </c>
      <c r="B161" t="s">
        <v>112</v>
      </c>
      <c r="C161" t="s">
        <v>206</v>
      </c>
      <c r="D161" t="s">
        <v>18</v>
      </c>
      <c r="E161" s="1">
        <v>33769</v>
      </c>
      <c r="F161" s="1">
        <v>42391</v>
      </c>
      <c r="G161">
        <v>30</v>
      </c>
      <c r="H161" t="s">
        <v>209</v>
      </c>
      <c r="I161" t="s">
        <v>45</v>
      </c>
      <c r="J161" t="s">
        <v>61</v>
      </c>
      <c r="K161" t="s">
        <v>22</v>
      </c>
      <c r="L161">
        <v>3950</v>
      </c>
      <c r="M161" t="s">
        <v>32</v>
      </c>
      <c r="N161" s="1"/>
      <c r="O161" t="s">
        <v>33</v>
      </c>
      <c r="P161" t="s">
        <v>312</v>
      </c>
    </row>
    <row r="162" spans="1:16" x14ac:dyDescent="0.3">
      <c r="A162">
        <v>1083</v>
      </c>
      <c r="B162" t="s">
        <v>26</v>
      </c>
      <c r="C162" t="s">
        <v>128</v>
      </c>
      <c r="D162" t="s">
        <v>18</v>
      </c>
      <c r="E162" s="1">
        <v>28754</v>
      </c>
      <c r="F162" s="1">
        <v>43395</v>
      </c>
      <c r="G162">
        <v>10</v>
      </c>
      <c r="H162" t="s">
        <v>49</v>
      </c>
      <c r="I162" t="s">
        <v>30</v>
      </c>
      <c r="J162" t="s">
        <v>21</v>
      </c>
      <c r="K162" t="s">
        <v>22</v>
      </c>
      <c r="L162">
        <v>9250</v>
      </c>
      <c r="M162" t="s">
        <v>32</v>
      </c>
      <c r="N162" s="1"/>
      <c r="O162" t="s">
        <v>33</v>
      </c>
      <c r="P162" t="s">
        <v>313</v>
      </c>
    </row>
    <row r="163" spans="1:16" x14ac:dyDescent="0.3">
      <c r="A163">
        <v>1241</v>
      </c>
      <c r="B163" t="s">
        <v>67</v>
      </c>
      <c r="C163" t="s">
        <v>216</v>
      </c>
      <c r="D163" t="s">
        <v>18</v>
      </c>
      <c r="E163" s="1">
        <v>34047</v>
      </c>
      <c r="F163" s="1">
        <v>43273</v>
      </c>
      <c r="G163">
        <v>50</v>
      </c>
      <c r="H163" t="s">
        <v>123</v>
      </c>
      <c r="I163" t="s">
        <v>45</v>
      </c>
      <c r="J163" t="s">
        <v>21</v>
      </c>
      <c r="K163" t="s">
        <v>22</v>
      </c>
      <c r="L163">
        <v>4650</v>
      </c>
      <c r="M163" t="s">
        <v>32</v>
      </c>
      <c r="N163" s="1"/>
      <c r="O163" t="s">
        <v>33</v>
      </c>
      <c r="P163" t="s">
        <v>33</v>
      </c>
    </row>
    <row r="164" spans="1:16" x14ac:dyDescent="0.3">
      <c r="A164">
        <v>1054</v>
      </c>
      <c r="B164" t="s">
        <v>67</v>
      </c>
      <c r="C164" t="s">
        <v>119</v>
      </c>
      <c r="D164" t="s">
        <v>18</v>
      </c>
      <c r="E164" s="1">
        <v>32276</v>
      </c>
      <c r="F164" s="1">
        <v>43034</v>
      </c>
      <c r="G164">
        <v>70</v>
      </c>
      <c r="H164" t="s">
        <v>38</v>
      </c>
      <c r="I164" t="s">
        <v>45</v>
      </c>
      <c r="J164" t="s">
        <v>21</v>
      </c>
      <c r="K164" t="s">
        <v>22</v>
      </c>
      <c r="L164">
        <v>3800</v>
      </c>
      <c r="M164" t="s">
        <v>32</v>
      </c>
      <c r="N164" s="1"/>
      <c r="O164" t="s">
        <v>33</v>
      </c>
      <c r="P164" t="s">
        <v>314</v>
      </c>
    </row>
    <row r="165" spans="1:16" x14ac:dyDescent="0.3">
      <c r="A165">
        <v>1242</v>
      </c>
      <c r="B165" t="s">
        <v>100</v>
      </c>
      <c r="C165" t="s">
        <v>74</v>
      </c>
      <c r="D165" t="s">
        <v>18</v>
      </c>
      <c r="E165" s="1">
        <v>31995</v>
      </c>
      <c r="F165" s="1">
        <v>43354</v>
      </c>
      <c r="G165">
        <v>60</v>
      </c>
      <c r="H165" t="s">
        <v>29</v>
      </c>
      <c r="I165" t="s">
        <v>45</v>
      </c>
      <c r="J165" t="s">
        <v>52</v>
      </c>
      <c r="K165" t="s">
        <v>22</v>
      </c>
      <c r="L165">
        <v>2550</v>
      </c>
      <c r="M165" t="s">
        <v>32</v>
      </c>
      <c r="N165" s="1"/>
      <c r="O165" t="s">
        <v>33</v>
      </c>
      <c r="P165" t="s">
        <v>315</v>
      </c>
    </row>
    <row r="166" spans="1:16" x14ac:dyDescent="0.3">
      <c r="A166">
        <v>1085</v>
      </c>
      <c r="B166" t="s">
        <v>70</v>
      </c>
      <c r="C166" t="s">
        <v>43</v>
      </c>
      <c r="D166" t="s">
        <v>37</v>
      </c>
      <c r="E166" s="1">
        <v>30746</v>
      </c>
      <c r="F166" s="1">
        <v>42439</v>
      </c>
      <c r="G166">
        <v>60</v>
      </c>
      <c r="H166" t="s">
        <v>29</v>
      </c>
      <c r="I166" t="s">
        <v>45</v>
      </c>
      <c r="J166" t="s">
        <v>52</v>
      </c>
      <c r="K166" t="s">
        <v>22</v>
      </c>
      <c r="L166">
        <v>2450</v>
      </c>
      <c r="M166" t="s">
        <v>23</v>
      </c>
      <c r="N166" s="1">
        <v>45247</v>
      </c>
      <c r="O166" t="s">
        <v>105</v>
      </c>
      <c r="P166" t="s">
        <v>316</v>
      </c>
    </row>
    <row r="167" spans="1:16" x14ac:dyDescent="0.3">
      <c r="A167">
        <v>1426</v>
      </c>
      <c r="B167" t="s">
        <v>180</v>
      </c>
      <c r="C167" t="s">
        <v>128</v>
      </c>
      <c r="D167" t="s">
        <v>18</v>
      </c>
      <c r="E167" s="1">
        <v>29387</v>
      </c>
      <c r="F167" s="1">
        <v>44501</v>
      </c>
      <c r="G167">
        <v>70</v>
      </c>
      <c r="H167" t="s">
        <v>38</v>
      </c>
      <c r="I167" t="s">
        <v>30</v>
      </c>
      <c r="J167" t="s">
        <v>31</v>
      </c>
      <c r="K167" t="s">
        <v>22</v>
      </c>
      <c r="L167">
        <v>5300</v>
      </c>
      <c r="M167" t="s">
        <v>23</v>
      </c>
      <c r="N167" s="1">
        <v>44868</v>
      </c>
      <c r="O167" t="s">
        <v>117</v>
      </c>
      <c r="P167" t="s">
        <v>317</v>
      </c>
    </row>
    <row r="168" spans="1:16" x14ac:dyDescent="0.3">
      <c r="A168">
        <v>1480</v>
      </c>
      <c r="B168" t="s">
        <v>85</v>
      </c>
      <c r="C168" t="s">
        <v>17</v>
      </c>
      <c r="D168" t="s">
        <v>18</v>
      </c>
      <c r="E168" s="1">
        <v>28902</v>
      </c>
      <c r="F168" s="1">
        <v>42843</v>
      </c>
      <c r="G168">
        <v>20</v>
      </c>
      <c r="H168" t="s">
        <v>60</v>
      </c>
      <c r="I168" t="s">
        <v>20</v>
      </c>
      <c r="J168" t="s">
        <v>21</v>
      </c>
      <c r="K168" t="s">
        <v>22</v>
      </c>
      <c r="L168">
        <v>10250</v>
      </c>
      <c r="M168" t="s">
        <v>32</v>
      </c>
      <c r="N168" s="1"/>
      <c r="O168" t="s">
        <v>33</v>
      </c>
      <c r="P168" t="s">
        <v>318</v>
      </c>
    </row>
    <row r="169" spans="1:16" x14ac:dyDescent="0.3">
      <c r="A169">
        <v>1397</v>
      </c>
      <c r="B169" t="s">
        <v>136</v>
      </c>
      <c r="C169" t="s">
        <v>74</v>
      </c>
      <c r="D169" t="s">
        <v>18</v>
      </c>
      <c r="E169" s="1">
        <v>29148</v>
      </c>
      <c r="F169" s="1">
        <v>44162</v>
      </c>
      <c r="G169">
        <v>20</v>
      </c>
      <c r="H169" t="s">
        <v>104</v>
      </c>
      <c r="I169" t="s">
        <v>39</v>
      </c>
      <c r="J169" t="s">
        <v>21</v>
      </c>
      <c r="K169" t="s">
        <v>22</v>
      </c>
      <c r="L169">
        <v>7100</v>
      </c>
      <c r="M169" t="s">
        <v>32</v>
      </c>
      <c r="N169" s="1"/>
      <c r="O169" t="s">
        <v>33</v>
      </c>
      <c r="P169" t="s">
        <v>319</v>
      </c>
    </row>
    <row r="170" spans="1:16" x14ac:dyDescent="0.3">
      <c r="A170">
        <v>1420</v>
      </c>
      <c r="B170" t="s">
        <v>73</v>
      </c>
      <c r="C170" t="s">
        <v>81</v>
      </c>
      <c r="D170" t="s">
        <v>55</v>
      </c>
      <c r="E170" s="1">
        <v>32265</v>
      </c>
      <c r="F170" s="1">
        <v>43235</v>
      </c>
      <c r="G170">
        <v>20</v>
      </c>
      <c r="H170" t="s">
        <v>104</v>
      </c>
      <c r="I170" t="s">
        <v>45</v>
      </c>
      <c r="J170" t="s">
        <v>21</v>
      </c>
      <c r="K170" t="s">
        <v>22</v>
      </c>
      <c r="L170">
        <v>3450</v>
      </c>
      <c r="M170" t="s">
        <v>32</v>
      </c>
      <c r="N170" s="1"/>
      <c r="O170" t="s">
        <v>33</v>
      </c>
      <c r="P170" t="s">
        <v>320</v>
      </c>
    </row>
    <row r="171" spans="1:16" x14ac:dyDescent="0.3">
      <c r="A171">
        <v>1202</v>
      </c>
      <c r="B171" t="s">
        <v>64</v>
      </c>
      <c r="C171" t="s">
        <v>247</v>
      </c>
      <c r="D171" t="s">
        <v>18</v>
      </c>
      <c r="E171" s="1">
        <v>29824</v>
      </c>
      <c r="F171" s="1">
        <v>45211</v>
      </c>
      <c r="G171">
        <v>60</v>
      </c>
      <c r="H171" t="s">
        <v>78</v>
      </c>
      <c r="I171" t="s">
        <v>45</v>
      </c>
      <c r="J171" t="s">
        <v>52</v>
      </c>
      <c r="K171" t="s">
        <v>22</v>
      </c>
      <c r="L171">
        <v>2950</v>
      </c>
      <c r="M171" t="s">
        <v>32</v>
      </c>
      <c r="N171" s="1"/>
      <c r="O171" t="s">
        <v>33</v>
      </c>
      <c r="P171" t="s">
        <v>321</v>
      </c>
    </row>
    <row r="172" spans="1:16" x14ac:dyDescent="0.3">
      <c r="A172">
        <v>1075</v>
      </c>
      <c r="B172" t="s">
        <v>64</v>
      </c>
      <c r="C172" t="s">
        <v>247</v>
      </c>
      <c r="D172" t="s">
        <v>18</v>
      </c>
      <c r="E172" s="1">
        <v>32927</v>
      </c>
      <c r="F172" s="1">
        <v>43447</v>
      </c>
      <c r="G172">
        <v>10</v>
      </c>
      <c r="H172" t="s">
        <v>49</v>
      </c>
      <c r="I172" t="s">
        <v>30</v>
      </c>
      <c r="J172" t="s">
        <v>21</v>
      </c>
      <c r="K172" t="s">
        <v>22</v>
      </c>
      <c r="L172">
        <v>8000</v>
      </c>
      <c r="M172" t="s">
        <v>32</v>
      </c>
      <c r="N172" s="1"/>
      <c r="O172" t="s">
        <v>33</v>
      </c>
      <c r="P172" t="s">
        <v>322</v>
      </c>
    </row>
    <row r="173" spans="1:16" x14ac:dyDescent="0.3">
      <c r="A173">
        <v>1453</v>
      </c>
      <c r="B173" t="s">
        <v>70</v>
      </c>
      <c r="C173" t="s">
        <v>163</v>
      </c>
      <c r="D173" t="s">
        <v>18</v>
      </c>
      <c r="E173" s="1">
        <v>29850</v>
      </c>
      <c r="F173" s="1">
        <v>43731</v>
      </c>
      <c r="G173">
        <v>60</v>
      </c>
      <c r="H173" t="s">
        <v>29</v>
      </c>
      <c r="I173" t="s">
        <v>45</v>
      </c>
      <c r="J173" t="s">
        <v>52</v>
      </c>
      <c r="K173" t="s">
        <v>22</v>
      </c>
      <c r="L173">
        <v>2550</v>
      </c>
      <c r="M173" t="s">
        <v>32</v>
      </c>
      <c r="N173" s="1"/>
      <c r="O173" t="s">
        <v>33</v>
      </c>
      <c r="P173" t="s">
        <v>323</v>
      </c>
    </row>
    <row r="174" spans="1:16" x14ac:dyDescent="0.3">
      <c r="A174">
        <v>1402</v>
      </c>
      <c r="B174" t="s">
        <v>58</v>
      </c>
      <c r="C174" t="s">
        <v>65</v>
      </c>
      <c r="D174" t="s">
        <v>18</v>
      </c>
      <c r="E174" s="1">
        <v>31810</v>
      </c>
      <c r="F174" s="1">
        <v>44899</v>
      </c>
      <c r="G174">
        <v>20</v>
      </c>
      <c r="H174" t="s">
        <v>68</v>
      </c>
      <c r="I174" t="s">
        <v>45</v>
      </c>
      <c r="J174" t="s">
        <v>21</v>
      </c>
      <c r="K174" t="s">
        <v>22</v>
      </c>
      <c r="L174">
        <v>3150</v>
      </c>
      <c r="M174" t="s">
        <v>301</v>
      </c>
      <c r="N174" s="1">
        <v>45491</v>
      </c>
      <c r="O174" t="s">
        <v>24</v>
      </c>
      <c r="P174" t="s">
        <v>324</v>
      </c>
    </row>
    <row r="175" spans="1:16" x14ac:dyDescent="0.3">
      <c r="A175">
        <v>1273</v>
      </c>
      <c r="B175" t="s">
        <v>180</v>
      </c>
      <c r="C175" t="s">
        <v>194</v>
      </c>
      <c r="D175" t="s">
        <v>37</v>
      </c>
      <c r="E175" s="1">
        <v>33194</v>
      </c>
      <c r="F175" s="1">
        <v>43343</v>
      </c>
      <c r="G175">
        <v>20</v>
      </c>
      <c r="H175" t="s">
        <v>68</v>
      </c>
      <c r="I175" t="s">
        <v>45</v>
      </c>
      <c r="J175" t="s">
        <v>21</v>
      </c>
      <c r="K175" t="s">
        <v>22</v>
      </c>
      <c r="L175">
        <v>4250</v>
      </c>
      <c r="M175" t="s">
        <v>23</v>
      </c>
      <c r="N175" s="1">
        <v>43439</v>
      </c>
      <c r="O175" t="s">
        <v>105</v>
      </c>
      <c r="P175" t="s">
        <v>325</v>
      </c>
    </row>
    <row r="176" spans="1:16" x14ac:dyDescent="0.3">
      <c r="A176">
        <v>1383</v>
      </c>
      <c r="B176" t="s">
        <v>58</v>
      </c>
      <c r="C176" t="s">
        <v>90</v>
      </c>
      <c r="D176" t="s">
        <v>18</v>
      </c>
      <c r="E176" s="1">
        <v>37855</v>
      </c>
      <c r="F176" s="1">
        <v>45217</v>
      </c>
      <c r="G176">
        <v>20</v>
      </c>
      <c r="H176" t="s">
        <v>68</v>
      </c>
      <c r="I176" t="s">
        <v>45</v>
      </c>
      <c r="J176" t="s">
        <v>21</v>
      </c>
      <c r="K176" t="s">
        <v>22</v>
      </c>
      <c r="M176" t="s">
        <v>32</v>
      </c>
      <c r="N176" s="1"/>
      <c r="O176" t="s">
        <v>33</v>
      </c>
      <c r="P176" t="s">
        <v>326</v>
      </c>
    </row>
    <row r="177" spans="1:16" x14ac:dyDescent="0.3">
      <c r="A177">
        <v>1024</v>
      </c>
      <c r="B177" t="s">
        <v>58</v>
      </c>
      <c r="C177" t="s">
        <v>128</v>
      </c>
      <c r="D177" t="s">
        <v>18</v>
      </c>
      <c r="E177" s="1">
        <v>28071</v>
      </c>
      <c r="F177" s="1">
        <v>42720</v>
      </c>
      <c r="G177">
        <v>70</v>
      </c>
      <c r="H177" t="s">
        <v>116</v>
      </c>
      <c r="I177" t="s">
        <v>39</v>
      </c>
      <c r="J177" t="s">
        <v>327</v>
      </c>
      <c r="K177" t="s">
        <v>22</v>
      </c>
      <c r="L177">
        <v>6950</v>
      </c>
      <c r="M177" t="s">
        <v>32</v>
      </c>
      <c r="N177" s="1"/>
      <c r="O177" t="s">
        <v>33</v>
      </c>
      <c r="P177" t="s">
        <v>328</v>
      </c>
    </row>
    <row r="178" spans="1:16" x14ac:dyDescent="0.3">
      <c r="A178">
        <v>1410</v>
      </c>
      <c r="B178" t="s">
        <v>94</v>
      </c>
      <c r="C178" t="s">
        <v>103</v>
      </c>
      <c r="D178" t="s">
        <v>37</v>
      </c>
      <c r="E178" s="1">
        <v>36839</v>
      </c>
      <c r="F178" s="1">
        <v>44935</v>
      </c>
      <c r="G178">
        <v>10</v>
      </c>
      <c r="H178" t="s">
        <v>49</v>
      </c>
      <c r="I178" t="s">
        <v>45</v>
      </c>
      <c r="J178" t="s">
        <v>21</v>
      </c>
      <c r="K178" t="s">
        <v>22</v>
      </c>
      <c r="L178">
        <v>6150</v>
      </c>
      <c r="M178" t="s">
        <v>32</v>
      </c>
      <c r="N178" s="1"/>
      <c r="O178" t="s">
        <v>33</v>
      </c>
      <c r="P178" t="s">
        <v>329</v>
      </c>
    </row>
    <row r="179" spans="1:16" x14ac:dyDescent="0.3">
      <c r="A179">
        <v>1155</v>
      </c>
      <c r="B179" t="s">
        <v>147</v>
      </c>
      <c r="C179" t="s">
        <v>330</v>
      </c>
      <c r="D179" t="s">
        <v>37</v>
      </c>
      <c r="E179" s="1">
        <v>30027</v>
      </c>
      <c r="F179" s="1">
        <v>42869</v>
      </c>
      <c r="G179">
        <v>10</v>
      </c>
      <c r="H179" t="s">
        <v>87</v>
      </c>
      <c r="I179" t="s">
        <v>30</v>
      </c>
      <c r="J179" t="s">
        <v>21</v>
      </c>
      <c r="K179" t="s">
        <v>22</v>
      </c>
      <c r="M179" t="s">
        <v>32</v>
      </c>
      <c r="N179" s="1"/>
      <c r="O179" t="s">
        <v>33</v>
      </c>
      <c r="P179" t="s">
        <v>331</v>
      </c>
    </row>
    <row r="180" spans="1:16" x14ac:dyDescent="0.3">
      <c r="A180">
        <v>1340</v>
      </c>
      <c r="B180" t="s">
        <v>100</v>
      </c>
      <c r="C180" t="s">
        <v>206</v>
      </c>
      <c r="D180" t="s">
        <v>18</v>
      </c>
      <c r="E180" s="1">
        <v>29744</v>
      </c>
      <c r="F180" s="1">
        <v>42844</v>
      </c>
      <c r="G180">
        <v>10</v>
      </c>
      <c r="H180" t="s">
        <v>49</v>
      </c>
      <c r="I180" t="s">
        <v>45</v>
      </c>
      <c r="J180" t="s">
        <v>21</v>
      </c>
      <c r="K180" t="s">
        <v>22</v>
      </c>
      <c r="L180">
        <v>5050</v>
      </c>
      <c r="M180" t="s">
        <v>23</v>
      </c>
      <c r="N180" s="1">
        <v>43183</v>
      </c>
      <c r="O180" t="s">
        <v>186</v>
      </c>
      <c r="P180" t="s">
        <v>332</v>
      </c>
    </row>
    <row r="181" spans="1:16" x14ac:dyDescent="0.3">
      <c r="A181">
        <v>1374</v>
      </c>
      <c r="B181" t="s">
        <v>136</v>
      </c>
      <c r="C181" t="s">
        <v>140</v>
      </c>
      <c r="D181" t="s">
        <v>37</v>
      </c>
      <c r="E181" s="1">
        <v>32791</v>
      </c>
      <c r="F181" s="1">
        <v>44923</v>
      </c>
      <c r="G181">
        <v>20</v>
      </c>
      <c r="H181" t="s">
        <v>104</v>
      </c>
      <c r="I181" t="s">
        <v>30</v>
      </c>
      <c r="J181" t="s">
        <v>21</v>
      </c>
      <c r="K181" t="s">
        <v>40</v>
      </c>
      <c r="L181">
        <v>5350</v>
      </c>
      <c r="M181" t="s">
        <v>32</v>
      </c>
      <c r="N181" s="1"/>
      <c r="O181" t="s">
        <v>33</v>
      </c>
      <c r="P181" t="s">
        <v>333</v>
      </c>
    </row>
    <row r="182" spans="1:16" x14ac:dyDescent="0.3">
      <c r="A182">
        <v>1237</v>
      </c>
      <c r="B182" t="s">
        <v>67</v>
      </c>
      <c r="C182" t="s">
        <v>103</v>
      </c>
      <c r="D182" t="s">
        <v>37</v>
      </c>
      <c r="E182" s="1">
        <v>30621</v>
      </c>
      <c r="F182" s="1">
        <v>43273</v>
      </c>
      <c r="G182">
        <v>10</v>
      </c>
      <c r="H182" t="s">
        <v>49</v>
      </c>
      <c r="I182" t="s">
        <v>45</v>
      </c>
      <c r="J182" t="s">
        <v>21</v>
      </c>
      <c r="K182" t="s">
        <v>22</v>
      </c>
      <c r="L182">
        <v>5800</v>
      </c>
      <c r="M182" t="s">
        <v>32</v>
      </c>
      <c r="N182" s="1"/>
      <c r="O182" t="s">
        <v>33</v>
      </c>
      <c r="P182" t="s">
        <v>334</v>
      </c>
    </row>
    <row r="183" spans="1:16" x14ac:dyDescent="0.3">
      <c r="A183">
        <v>1051</v>
      </c>
      <c r="B183" t="s">
        <v>89</v>
      </c>
      <c r="C183" t="s">
        <v>184</v>
      </c>
      <c r="D183" t="s">
        <v>37</v>
      </c>
      <c r="E183" s="1">
        <v>34409</v>
      </c>
      <c r="F183" s="1">
        <v>44670</v>
      </c>
      <c r="G183">
        <v>30</v>
      </c>
      <c r="H183" t="s">
        <v>209</v>
      </c>
      <c r="I183" t="s">
        <v>39</v>
      </c>
      <c r="J183" t="s">
        <v>52</v>
      </c>
      <c r="K183" t="s">
        <v>22</v>
      </c>
      <c r="M183" t="s">
        <v>32</v>
      </c>
      <c r="N183" s="1"/>
      <c r="O183" t="s">
        <v>33</v>
      </c>
      <c r="P183" t="s">
        <v>335</v>
      </c>
    </row>
    <row r="184" spans="1:16" x14ac:dyDescent="0.3">
      <c r="A184">
        <v>1039</v>
      </c>
      <c r="B184" t="s">
        <v>94</v>
      </c>
      <c r="C184" t="s">
        <v>110</v>
      </c>
      <c r="D184" t="s">
        <v>37</v>
      </c>
      <c r="E184" s="1">
        <v>35574</v>
      </c>
      <c r="F184" s="1">
        <v>44616</v>
      </c>
      <c r="G184">
        <v>60</v>
      </c>
      <c r="H184" t="s">
        <v>78</v>
      </c>
      <c r="I184" t="s">
        <v>30</v>
      </c>
      <c r="J184" t="s">
        <v>52</v>
      </c>
      <c r="K184" t="s">
        <v>22</v>
      </c>
      <c r="L184">
        <v>3350</v>
      </c>
      <c r="M184" t="s">
        <v>23</v>
      </c>
      <c r="N184" s="1">
        <v>44992</v>
      </c>
      <c r="O184" t="s">
        <v>24</v>
      </c>
      <c r="P184" t="s">
        <v>336</v>
      </c>
    </row>
    <row r="185" spans="1:16" x14ac:dyDescent="0.3">
      <c r="A185">
        <v>1279</v>
      </c>
      <c r="B185" t="s">
        <v>89</v>
      </c>
      <c r="C185" t="s">
        <v>200</v>
      </c>
      <c r="D185" t="s">
        <v>174</v>
      </c>
      <c r="E185" s="1">
        <v>33765</v>
      </c>
      <c r="F185" s="1">
        <v>45875</v>
      </c>
      <c r="G185">
        <v>10</v>
      </c>
      <c r="H185" t="s">
        <v>49</v>
      </c>
      <c r="I185" t="s">
        <v>30</v>
      </c>
      <c r="J185" t="s">
        <v>21</v>
      </c>
      <c r="K185" t="s">
        <v>22</v>
      </c>
      <c r="L185">
        <v>8700</v>
      </c>
      <c r="M185" t="s">
        <v>32</v>
      </c>
      <c r="N185" s="1"/>
      <c r="O185" t="s">
        <v>33</v>
      </c>
      <c r="P185" t="s">
        <v>337</v>
      </c>
    </row>
    <row r="186" spans="1:16" x14ac:dyDescent="0.3">
      <c r="A186">
        <v>1478</v>
      </c>
      <c r="B186" t="s">
        <v>134</v>
      </c>
      <c r="C186" t="s">
        <v>155</v>
      </c>
      <c r="D186" t="s">
        <v>37</v>
      </c>
      <c r="E186" s="1">
        <v>31743</v>
      </c>
      <c r="F186" s="1">
        <v>43292</v>
      </c>
      <c r="G186">
        <v>10</v>
      </c>
      <c r="H186" t="s">
        <v>44</v>
      </c>
      <c r="I186" t="s">
        <v>45</v>
      </c>
      <c r="J186" t="s">
        <v>21</v>
      </c>
      <c r="K186" t="s">
        <v>22</v>
      </c>
      <c r="L186">
        <v>7000</v>
      </c>
      <c r="M186" t="s">
        <v>32</v>
      </c>
      <c r="N186" s="1"/>
      <c r="O186" t="s">
        <v>33</v>
      </c>
      <c r="P186" t="s">
        <v>338</v>
      </c>
    </row>
    <row r="187" spans="1:16" x14ac:dyDescent="0.3">
      <c r="A187">
        <v>1006</v>
      </c>
      <c r="B187" t="s">
        <v>339</v>
      </c>
      <c r="C187" t="s">
        <v>213</v>
      </c>
      <c r="D187" t="s">
        <v>148</v>
      </c>
      <c r="E187" s="1">
        <v>34182</v>
      </c>
      <c r="F187" s="1">
        <v>45183</v>
      </c>
      <c r="G187">
        <v>50</v>
      </c>
      <c r="H187" t="s">
        <v>71</v>
      </c>
      <c r="I187" t="s">
        <v>30</v>
      </c>
      <c r="J187" t="s">
        <v>52</v>
      </c>
      <c r="K187" t="s">
        <v>22</v>
      </c>
      <c r="L187">
        <v>6300</v>
      </c>
      <c r="M187" t="s">
        <v>23</v>
      </c>
      <c r="N187" s="1">
        <v>45913</v>
      </c>
      <c r="O187" t="s">
        <v>105</v>
      </c>
      <c r="P187" t="s">
        <v>340</v>
      </c>
    </row>
    <row r="188" spans="1:16" x14ac:dyDescent="0.3">
      <c r="A188">
        <v>1076</v>
      </c>
      <c r="B188" t="s">
        <v>122</v>
      </c>
      <c r="C188" t="s">
        <v>163</v>
      </c>
      <c r="D188" t="s">
        <v>18</v>
      </c>
      <c r="E188" s="1">
        <v>35015</v>
      </c>
      <c r="F188" s="1">
        <v>45371</v>
      </c>
      <c r="G188">
        <v>60</v>
      </c>
      <c r="H188" t="s">
        <v>29</v>
      </c>
      <c r="I188" t="s">
        <v>45</v>
      </c>
      <c r="J188" t="s">
        <v>61</v>
      </c>
      <c r="K188" t="s">
        <v>22</v>
      </c>
      <c r="L188">
        <v>2900</v>
      </c>
      <c r="M188" t="s">
        <v>23</v>
      </c>
      <c r="N188" s="1">
        <v>45676</v>
      </c>
      <c r="O188" t="s">
        <v>186</v>
      </c>
      <c r="P188" t="s">
        <v>341</v>
      </c>
    </row>
    <row r="189" spans="1:16" x14ac:dyDescent="0.3">
      <c r="A189">
        <v>1143</v>
      </c>
      <c r="B189" t="s">
        <v>73</v>
      </c>
      <c r="C189" t="s">
        <v>27</v>
      </c>
      <c r="D189" t="s">
        <v>37</v>
      </c>
      <c r="E189" s="1">
        <v>28674</v>
      </c>
      <c r="F189" s="1">
        <v>42839</v>
      </c>
      <c r="H189" t="s">
        <v>108</v>
      </c>
      <c r="I189" t="s">
        <v>39</v>
      </c>
      <c r="J189" t="s">
        <v>169</v>
      </c>
      <c r="K189" t="s">
        <v>22</v>
      </c>
      <c r="L189">
        <v>13100</v>
      </c>
      <c r="M189" t="s">
        <v>32</v>
      </c>
      <c r="N189" s="1"/>
      <c r="O189" t="s">
        <v>33</v>
      </c>
      <c r="P189" t="s">
        <v>342</v>
      </c>
    </row>
    <row r="190" spans="1:16" x14ac:dyDescent="0.3">
      <c r="A190">
        <v>1048</v>
      </c>
      <c r="B190" t="s">
        <v>85</v>
      </c>
      <c r="C190" t="s">
        <v>163</v>
      </c>
      <c r="D190" t="s">
        <v>18</v>
      </c>
      <c r="E190" s="1">
        <v>32967</v>
      </c>
      <c r="F190" s="1">
        <v>45653</v>
      </c>
      <c r="G190">
        <v>10</v>
      </c>
      <c r="H190" t="s">
        <v>49</v>
      </c>
      <c r="I190" t="s">
        <v>30</v>
      </c>
      <c r="J190" t="s">
        <v>21</v>
      </c>
      <c r="K190" t="s">
        <v>22</v>
      </c>
      <c r="L190">
        <v>8650</v>
      </c>
      <c r="M190" t="s">
        <v>32</v>
      </c>
      <c r="N190" s="1"/>
      <c r="O190" t="s">
        <v>33</v>
      </c>
      <c r="P190" t="s">
        <v>343</v>
      </c>
    </row>
    <row r="191" spans="1:16" x14ac:dyDescent="0.3">
      <c r="A191">
        <v>1047</v>
      </c>
      <c r="B191" t="s">
        <v>150</v>
      </c>
      <c r="C191" t="s">
        <v>126</v>
      </c>
      <c r="D191" t="s">
        <v>37</v>
      </c>
      <c r="E191" s="1">
        <v>28985</v>
      </c>
      <c r="F191" s="1">
        <v>42795</v>
      </c>
      <c r="G191">
        <v>70</v>
      </c>
      <c r="H191" t="s">
        <v>116</v>
      </c>
      <c r="I191" t="s">
        <v>30</v>
      </c>
      <c r="J191" t="s">
        <v>31</v>
      </c>
      <c r="K191" t="s">
        <v>22</v>
      </c>
      <c r="L191">
        <v>4750</v>
      </c>
      <c r="M191" t="s">
        <v>32</v>
      </c>
      <c r="N191" s="1"/>
      <c r="O191" t="s">
        <v>33</v>
      </c>
      <c r="P191" t="s">
        <v>344</v>
      </c>
    </row>
    <row r="192" spans="1:16" x14ac:dyDescent="0.3">
      <c r="A192">
        <v>1071</v>
      </c>
      <c r="B192" t="s">
        <v>134</v>
      </c>
      <c r="C192" t="s">
        <v>110</v>
      </c>
      <c r="D192" t="s">
        <v>37</v>
      </c>
      <c r="E192" s="1">
        <v>36522</v>
      </c>
      <c r="F192" s="1">
        <v>45002</v>
      </c>
      <c r="G192">
        <v>10</v>
      </c>
      <c r="H192" t="s">
        <v>87</v>
      </c>
      <c r="I192" t="s">
        <v>214</v>
      </c>
      <c r="J192" t="s">
        <v>21</v>
      </c>
      <c r="K192" t="s">
        <v>22</v>
      </c>
      <c r="L192">
        <v>7400</v>
      </c>
      <c r="M192" t="s">
        <v>32</v>
      </c>
      <c r="N192" s="1"/>
      <c r="O192" t="s">
        <v>33</v>
      </c>
      <c r="P192" t="s">
        <v>345</v>
      </c>
    </row>
    <row r="193" spans="1:16" x14ac:dyDescent="0.3">
      <c r="A193">
        <v>1202</v>
      </c>
      <c r="B193" t="s">
        <v>64</v>
      </c>
      <c r="C193" t="s">
        <v>247</v>
      </c>
      <c r="D193" t="s">
        <v>18</v>
      </c>
      <c r="E193" s="1">
        <v>29824</v>
      </c>
      <c r="F193" s="1">
        <v>45211</v>
      </c>
      <c r="G193">
        <v>60</v>
      </c>
      <c r="H193" t="s">
        <v>78</v>
      </c>
      <c r="I193" t="s">
        <v>45</v>
      </c>
      <c r="J193" t="s">
        <v>52</v>
      </c>
      <c r="K193" t="s">
        <v>22</v>
      </c>
      <c r="L193">
        <v>2950</v>
      </c>
      <c r="M193" t="s">
        <v>32</v>
      </c>
      <c r="N193" s="1"/>
      <c r="O193" t="s">
        <v>33</v>
      </c>
      <c r="P193" t="s">
        <v>321</v>
      </c>
    </row>
    <row r="194" spans="1:16" x14ac:dyDescent="0.3">
      <c r="A194">
        <v>1080</v>
      </c>
      <c r="B194" t="s">
        <v>80</v>
      </c>
      <c r="C194" t="s">
        <v>194</v>
      </c>
      <c r="D194" t="s">
        <v>37</v>
      </c>
      <c r="E194" s="1">
        <v>28624</v>
      </c>
      <c r="F194" s="1">
        <v>45261</v>
      </c>
      <c r="G194">
        <v>80</v>
      </c>
      <c r="H194" t="s">
        <v>159</v>
      </c>
      <c r="I194" t="s">
        <v>39</v>
      </c>
      <c r="J194" t="s">
        <v>21</v>
      </c>
      <c r="K194" t="s">
        <v>22</v>
      </c>
      <c r="L194">
        <v>12100</v>
      </c>
      <c r="M194" t="s">
        <v>32</v>
      </c>
      <c r="N194" s="1"/>
      <c r="O194" t="s">
        <v>33</v>
      </c>
      <c r="P194" t="s">
        <v>346</v>
      </c>
    </row>
    <row r="195" spans="1:16" x14ac:dyDescent="0.3">
      <c r="A195">
        <v>1031</v>
      </c>
      <c r="B195" t="s">
        <v>73</v>
      </c>
      <c r="C195" t="s">
        <v>126</v>
      </c>
      <c r="D195" t="s">
        <v>37</v>
      </c>
      <c r="E195" s="1">
        <v>28470</v>
      </c>
      <c r="F195" s="1">
        <v>44953</v>
      </c>
      <c r="G195">
        <v>20</v>
      </c>
      <c r="H195" t="s">
        <v>104</v>
      </c>
      <c r="I195" t="s">
        <v>30</v>
      </c>
      <c r="J195" t="s">
        <v>165</v>
      </c>
      <c r="K195" t="s">
        <v>22</v>
      </c>
      <c r="L195">
        <v>5950</v>
      </c>
      <c r="M195" t="s">
        <v>23</v>
      </c>
      <c r="N195" s="1">
        <v>45806</v>
      </c>
      <c r="O195" t="s">
        <v>186</v>
      </c>
      <c r="P195" t="s">
        <v>347</v>
      </c>
    </row>
    <row r="196" spans="1:16" x14ac:dyDescent="0.3">
      <c r="A196">
        <v>1012</v>
      </c>
      <c r="B196" t="s">
        <v>67</v>
      </c>
      <c r="C196" t="s">
        <v>27</v>
      </c>
      <c r="D196" t="s">
        <v>37</v>
      </c>
      <c r="E196" s="1">
        <v>32847</v>
      </c>
      <c r="F196" s="1">
        <v>44092</v>
      </c>
      <c r="G196">
        <v>10</v>
      </c>
      <c r="H196" t="s">
        <v>108</v>
      </c>
      <c r="I196" t="s">
        <v>30</v>
      </c>
      <c r="J196" t="s">
        <v>21</v>
      </c>
      <c r="K196" t="s">
        <v>22</v>
      </c>
      <c r="L196">
        <v>7100</v>
      </c>
      <c r="M196" t="s">
        <v>23</v>
      </c>
      <c r="N196" s="1">
        <v>45233</v>
      </c>
      <c r="O196" t="s">
        <v>186</v>
      </c>
      <c r="P196" t="s">
        <v>348</v>
      </c>
    </row>
    <row r="197" spans="1:16" x14ac:dyDescent="0.3">
      <c r="A197">
        <v>1350</v>
      </c>
      <c r="B197" t="s">
        <v>112</v>
      </c>
      <c r="C197" t="s">
        <v>155</v>
      </c>
      <c r="D197" t="s">
        <v>55</v>
      </c>
      <c r="E197" s="1">
        <v>31711</v>
      </c>
      <c r="F197" s="1">
        <v>45391</v>
      </c>
      <c r="G197">
        <v>60</v>
      </c>
      <c r="H197" t="s">
        <v>29</v>
      </c>
      <c r="I197" t="s">
        <v>30</v>
      </c>
      <c r="J197" t="s">
        <v>52</v>
      </c>
      <c r="K197" t="s">
        <v>22</v>
      </c>
      <c r="L197">
        <v>5550</v>
      </c>
      <c r="M197" t="s">
        <v>32</v>
      </c>
      <c r="N197" s="1"/>
      <c r="O197" t="s">
        <v>33</v>
      </c>
      <c r="P197" t="s">
        <v>349</v>
      </c>
    </row>
    <row r="198" spans="1:16" x14ac:dyDescent="0.3">
      <c r="A198">
        <v>1469</v>
      </c>
      <c r="B198" t="s">
        <v>136</v>
      </c>
      <c r="C198" t="s">
        <v>206</v>
      </c>
      <c r="D198" t="s">
        <v>18</v>
      </c>
      <c r="E198" s="1">
        <v>27436</v>
      </c>
      <c r="F198" s="1">
        <v>44313</v>
      </c>
      <c r="G198">
        <v>60</v>
      </c>
      <c r="H198" t="s">
        <v>78</v>
      </c>
      <c r="I198" t="s">
        <v>39</v>
      </c>
      <c r="J198" t="s">
        <v>52</v>
      </c>
      <c r="K198" t="s">
        <v>22</v>
      </c>
      <c r="L198">
        <v>6550</v>
      </c>
      <c r="M198" t="s">
        <v>32</v>
      </c>
      <c r="N198" s="1"/>
      <c r="O198" t="s">
        <v>33</v>
      </c>
      <c r="P198" t="s">
        <v>350</v>
      </c>
    </row>
    <row r="199" spans="1:16" x14ac:dyDescent="0.3">
      <c r="A199">
        <v>1271</v>
      </c>
      <c r="B199" t="s">
        <v>100</v>
      </c>
      <c r="C199" t="s">
        <v>140</v>
      </c>
      <c r="D199" t="s">
        <v>28</v>
      </c>
      <c r="E199" s="1">
        <v>33307</v>
      </c>
      <c r="F199" s="1">
        <v>45565</v>
      </c>
      <c r="G199">
        <v>70</v>
      </c>
      <c r="H199" t="s">
        <v>38</v>
      </c>
      <c r="I199" t="s">
        <v>45</v>
      </c>
      <c r="J199" t="s">
        <v>31</v>
      </c>
      <c r="K199" t="s">
        <v>22</v>
      </c>
      <c r="L199">
        <v>3450</v>
      </c>
      <c r="M199" t="s">
        <v>32</v>
      </c>
      <c r="N199" s="1"/>
      <c r="O199" t="s">
        <v>33</v>
      </c>
      <c r="P199" t="s">
        <v>351</v>
      </c>
    </row>
    <row r="200" spans="1:16" x14ac:dyDescent="0.3">
      <c r="A200">
        <v>1116</v>
      </c>
      <c r="B200" t="s">
        <v>157</v>
      </c>
      <c r="C200" t="s">
        <v>266</v>
      </c>
      <c r="D200" t="s">
        <v>37</v>
      </c>
      <c r="E200" s="1">
        <v>34429</v>
      </c>
      <c r="F200" s="1">
        <v>42677</v>
      </c>
      <c r="G200">
        <v>70</v>
      </c>
      <c r="H200" t="s">
        <v>38</v>
      </c>
      <c r="I200" t="s">
        <v>30</v>
      </c>
      <c r="J200" t="s">
        <v>21</v>
      </c>
      <c r="K200" t="s">
        <v>22</v>
      </c>
      <c r="L200">
        <v>4250</v>
      </c>
      <c r="M200" t="s">
        <v>32</v>
      </c>
      <c r="N200" s="1"/>
      <c r="O200" t="s">
        <v>33</v>
      </c>
      <c r="P200" t="s">
        <v>352</v>
      </c>
    </row>
    <row r="201" spans="1:16" x14ac:dyDescent="0.3">
      <c r="A201">
        <v>1026</v>
      </c>
      <c r="B201" t="s">
        <v>112</v>
      </c>
      <c r="C201" t="s">
        <v>103</v>
      </c>
      <c r="D201" t="s">
        <v>37</v>
      </c>
      <c r="E201" s="1">
        <v>31400</v>
      </c>
      <c r="F201" s="1">
        <v>44797</v>
      </c>
      <c r="G201">
        <v>20</v>
      </c>
      <c r="H201" t="s">
        <v>68</v>
      </c>
      <c r="I201" t="s">
        <v>45</v>
      </c>
      <c r="J201" t="s">
        <v>21</v>
      </c>
      <c r="K201" t="s">
        <v>22</v>
      </c>
      <c r="L201">
        <v>4500</v>
      </c>
      <c r="M201" t="s">
        <v>32</v>
      </c>
      <c r="N201" s="1"/>
      <c r="O201" t="s">
        <v>33</v>
      </c>
      <c r="P201" t="s">
        <v>353</v>
      </c>
    </row>
    <row r="202" spans="1:16" x14ac:dyDescent="0.3">
      <c r="A202">
        <v>1196</v>
      </c>
      <c r="B202" t="s">
        <v>80</v>
      </c>
      <c r="C202" t="s">
        <v>163</v>
      </c>
      <c r="D202" t="s">
        <v>18</v>
      </c>
      <c r="E202" s="1">
        <v>34786</v>
      </c>
      <c r="F202" s="1">
        <v>44094</v>
      </c>
      <c r="G202">
        <v>50</v>
      </c>
      <c r="H202" t="s">
        <v>71</v>
      </c>
      <c r="I202" t="s">
        <v>45</v>
      </c>
      <c r="J202" t="s">
        <v>21</v>
      </c>
      <c r="K202" t="s">
        <v>22</v>
      </c>
      <c r="L202">
        <v>4200</v>
      </c>
      <c r="M202" t="s">
        <v>32</v>
      </c>
      <c r="N202" s="1"/>
      <c r="O202" t="s">
        <v>33</v>
      </c>
      <c r="P202" t="s">
        <v>354</v>
      </c>
    </row>
    <row r="203" spans="1:16" x14ac:dyDescent="0.3">
      <c r="A203">
        <v>1392</v>
      </c>
      <c r="B203" t="s">
        <v>54</v>
      </c>
      <c r="C203" t="s">
        <v>213</v>
      </c>
      <c r="D203" t="s">
        <v>18</v>
      </c>
      <c r="E203" s="1">
        <v>30736</v>
      </c>
      <c r="F203" s="1">
        <v>42630</v>
      </c>
      <c r="G203">
        <v>70</v>
      </c>
      <c r="H203" t="s">
        <v>116</v>
      </c>
      <c r="I203" t="s">
        <v>45</v>
      </c>
      <c r="J203" t="s">
        <v>31</v>
      </c>
      <c r="K203" t="s">
        <v>22</v>
      </c>
      <c r="L203">
        <v>3500</v>
      </c>
      <c r="M203" t="s">
        <v>32</v>
      </c>
      <c r="N203" s="1"/>
      <c r="O203" t="s">
        <v>33</v>
      </c>
      <c r="P203" t="s">
        <v>355</v>
      </c>
    </row>
    <row r="204" spans="1:16" x14ac:dyDescent="0.3">
      <c r="A204">
        <v>1066</v>
      </c>
      <c r="B204" t="s">
        <v>164</v>
      </c>
      <c r="C204" t="s">
        <v>140</v>
      </c>
      <c r="D204" t="s">
        <v>37</v>
      </c>
      <c r="E204" s="1">
        <v>38196</v>
      </c>
      <c r="F204" s="1">
        <v>45641</v>
      </c>
      <c r="G204">
        <v>80</v>
      </c>
      <c r="H204" t="s">
        <v>159</v>
      </c>
      <c r="I204" t="s">
        <v>45</v>
      </c>
      <c r="J204" t="s">
        <v>21</v>
      </c>
      <c r="K204" t="s">
        <v>22</v>
      </c>
      <c r="M204" t="s">
        <v>32</v>
      </c>
      <c r="N204" s="1"/>
      <c r="O204" t="s">
        <v>33</v>
      </c>
      <c r="P204" t="s">
        <v>356</v>
      </c>
    </row>
    <row r="205" spans="1:16" x14ac:dyDescent="0.3">
      <c r="A205">
        <v>1290</v>
      </c>
      <c r="B205" t="s">
        <v>89</v>
      </c>
      <c r="C205" t="s">
        <v>216</v>
      </c>
      <c r="D205" t="s">
        <v>18</v>
      </c>
      <c r="E205" s="1">
        <v>32589</v>
      </c>
      <c r="F205" s="1">
        <v>43164</v>
      </c>
      <c r="G205">
        <v>40</v>
      </c>
      <c r="H205" t="s">
        <v>120</v>
      </c>
      <c r="I205" t="s">
        <v>39</v>
      </c>
      <c r="J205" t="s">
        <v>21</v>
      </c>
      <c r="K205" t="s">
        <v>22</v>
      </c>
      <c r="L205">
        <v>7950</v>
      </c>
      <c r="M205" t="s">
        <v>32</v>
      </c>
      <c r="N205" s="1"/>
      <c r="O205" t="s">
        <v>33</v>
      </c>
      <c r="P205" t="s">
        <v>357</v>
      </c>
    </row>
    <row r="206" spans="1:16" x14ac:dyDescent="0.3">
      <c r="A206">
        <v>1046</v>
      </c>
      <c r="B206" t="s">
        <v>58</v>
      </c>
      <c r="C206" t="s">
        <v>194</v>
      </c>
      <c r="D206" t="s">
        <v>37</v>
      </c>
      <c r="E206" s="1">
        <v>29607</v>
      </c>
      <c r="F206" s="1">
        <v>44742</v>
      </c>
      <c r="G206">
        <v>60</v>
      </c>
      <c r="H206" t="s">
        <v>78</v>
      </c>
      <c r="I206" t="s">
        <v>39</v>
      </c>
      <c r="J206" t="s">
        <v>52</v>
      </c>
      <c r="K206" t="s">
        <v>22</v>
      </c>
      <c r="L206">
        <v>6500</v>
      </c>
      <c r="M206" t="s">
        <v>32</v>
      </c>
      <c r="N206" s="1"/>
      <c r="O206" t="s">
        <v>33</v>
      </c>
      <c r="P206" t="s">
        <v>358</v>
      </c>
    </row>
    <row r="207" spans="1:16" x14ac:dyDescent="0.3">
      <c r="A207">
        <v>1400</v>
      </c>
      <c r="B207" t="s">
        <v>48</v>
      </c>
      <c r="C207" t="s">
        <v>200</v>
      </c>
      <c r="D207" t="s">
        <v>18</v>
      </c>
      <c r="E207" s="1">
        <v>26526</v>
      </c>
      <c r="F207" s="1">
        <v>43657</v>
      </c>
      <c r="G207">
        <v>10</v>
      </c>
      <c r="H207" t="s">
        <v>108</v>
      </c>
      <c r="I207" t="s">
        <v>39</v>
      </c>
      <c r="J207" t="s">
        <v>21</v>
      </c>
      <c r="K207" t="s">
        <v>22</v>
      </c>
      <c r="L207">
        <v>10900</v>
      </c>
      <c r="M207" t="s">
        <v>32</v>
      </c>
      <c r="N207" s="1"/>
      <c r="O207" t="s">
        <v>33</v>
      </c>
      <c r="P207" t="s">
        <v>359</v>
      </c>
    </row>
    <row r="208" spans="1:16" x14ac:dyDescent="0.3">
      <c r="A208">
        <v>1054</v>
      </c>
      <c r="B208" t="s">
        <v>67</v>
      </c>
      <c r="C208" t="s">
        <v>119</v>
      </c>
      <c r="D208" t="s">
        <v>18</v>
      </c>
      <c r="E208" s="1">
        <v>32276</v>
      </c>
      <c r="F208" s="1">
        <v>43034</v>
      </c>
      <c r="G208">
        <v>70</v>
      </c>
      <c r="H208" t="s">
        <v>38</v>
      </c>
      <c r="I208" t="s">
        <v>45</v>
      </c>
      <c r="J208" t="s">
        <v>21</v>
      </c>
      <c r="K208" t="s">
        <v>22</v>
      </c>
      <c r="L208">
        <v>3800</v>
      </c>
      <c r="M208" t="s">
        <v>32</v>
      </c>
      <c r="N208" s="1"/>
      <c r="O208" t="s">
        <v>33</v>
      </c>
      <c r="P208" t="s">
        <v>314</v>
      </c>
    </row>
    <row r="209" spans="1:16" x14ac:dyDescent="0.3">
      <c r="A209">
        <v>1393</v>
      </c>
      <c r="B209" t="s">
        <v>157</v>
      </c>
      <c r="C209" t="s">
        <v>36</v>
      </c>
      <c r="D209" t="s">
        <v>37</v>
      </c>
      <c r="E209" s="1">
        <v>31053</v>
      </c>
      <c r="F209" s="1">
        <v>45017</v>
      </c>
      <c r="G209">
        <v>60</v>
      </c>
      <c r="H209" t="s">
        <v>78</v>
      </c>
      <c r="I209" t="s">
        <v>45</v>
      </c>
      <c r="J209" t="s">
        <v>21</v>
      </c>
      <c r="K209" t="s">
        <v>22</v>
      </c>
      <c r="L209">
        <v>2300</v>
      </c>
      <c r="M209" t="s">
        <v>32</v>
      </c>
      <c r="N209" s="1"/>
      <c r="O209" t="s">
        <v>33</v>
      </c>
      <c r="P209" t="s">
        <v>360</v>
      </c>
    </row>
    <row r="210" spans="1:16" x14ac:dyDescent="0.3">
      <c r="A210">
        <v>1252</v>
      </c>
      <c r="B210" t="s">
        <v>188</v>
      </c>
      <c r="C210" t="s">
        <v>144</v>
      </c>
      <c r="D210" t="s">
        <v>37</v>
      </c>
      <c r="E210" s="1">
        <v>30873</v>
      </c>
      <c r="F210" s="1">
        <v>42581</v>
      </c>
      <c r="G210">
        <v>60</v>
      </c>
      <c r="H210" t="s">
        <v>29</v>
      </c>
      <c r="I210" t="s">
        <v>30</v>
      </c>
      <c r="J210" t="s">
        <v>284</v>
      </c>
      <c r="K210" t="s">
        <v>22</v>
      </c>
      <c r="L210">
        <v>4350</v>
      </c>
      <c r="M210" t="s">
        <v>32</v>
      </c>
      <c r="N210" s="1"/>
      <c r="O210" t="s">
        <v>33</v>
      </c>
      <c r="P210" t="s">
        <v>361</v>
      </c>
    </row>
    <row r="211" spans="1:16" x14ac:dyDescent="0.3">
      <c r="A211">
        <v>1461</v>
      </c>
      <c r="B211" t="s">
        <v>26</v>
      </c>
      <c r="C211" t="s">
        <v>59</v>
      </c>
      <c r="D211" t="s">
        <v>221</v>
      </c>
      <c r="E211" s="1">
        <v>32086</v>
      </c>
      <c r="F211" s="1">
        <v>44224</v>
      </c>
      <c r="G211">
        <v>20</v>
      </c>
      <c r="H211" t="s">
        <v>68</v>
      </c>
      <c r="I211" t="s">
        <v>39</v>
      </c>
      <c r="J211" t="s">
        <v>21</v>
      </c>
      <c r="K211" t="s">
        <v>22</v>
      </c>
      <c r="L211">
        <v>6950</v>
      </c>
      <c r="M211" t="s">
        <v>32</v>
      </c>
      <c r="N211" s="1"/>
      <c r="O211" t="s">
        <v>33</v>
      </c>
      <c r="P211" t="s">
        <v>33</v>
      </c>
    </row>
    <row r="212" spans="1:16" x14ac:dyDescent="0.3">
      <c r="A212">
        <v>1474</v>
      </c>
      <c r="B212" t="s">
        <v>115</v>
      </c>
      <c r="C212" t="s">
        <v>43</v>
      </c>
      <c r="D212" t="s">
        <v>37</v>
      </c>
      <c r="E212" s="1">
        <v>32514</v>
      </c>
      <c r="F212" s="1">
        <v>45501</v>
      </c>
      <c r="G212">
        <v>70</v>
      </c>
      <c r="H212" t="s">
        <v>116</v>
      </c>
      <c r="I212" t="s">
        <v>30</v>
      </c>
      <c r="J212" t="s">
        <v>31</v>
      </c>
      <c r="K212" t="s">
        <v>40</v>
      </c>
      <c r="L212">
        <v>5200</v>
      </c>
      <c r="M212" t="s">
        <v>32</v>
      </c>
      <c r="N212" s="1"/>
      <c r="O212" t="s">
        <v>33</v>
      </c>
      <c r="P212" t="s">
        <v>362</v>
      </c>
    </row>
    <row r="213" spans="1:16" x14ac:dyDescent="0.3">
      <c r="A213">
        <v>1069</v>
      </c>
      <c r="B213" t="s">
        <v>64</v>
      </c>
      <c r="C213" t="s">
        <v>119</v>
      </c>
      <c r="D213" t="s">
        <v>18</v>
      </c>
      <c r="E213" s="1">
        <v>35322</v>
      </c>
      <c r="F213" s="1">
        <v>45519</v>
      </c>
      <c r="G213">
        <v>10</v>
      </c>
      <c r="H213" t="s">
        <v>44</v>
      </c>
      <c r="I213" t="s">
        <v>30</v>
      </c>
      <c r="J213" t="s">
        <v>21</v>
      </c>
      <c r="K213" t="s">
        <v>22</v>
      </c>
      <c r="L213">
        <v>7750</v>
      </c>
      <c r="M213" t="s">
        <v>32</v>
      </c>
      <c r="N213" s="1"/>
      <c r="O213" t="s">
        <v>33</v>
      </c>
      <c r="P213" t="s">
        <v>363</v>
      </c>
    </row>
    <row r="214" spans="1:16" x14ac:dyDescent="0.3">
      <c r="A214">
        <v>1367</v>
      </c>
      <c r="B214" t="s">
        <v>92</v>
      </c>
      <c r="C214" t="s">
        <v>216</v>
      </c>
      <c r="D214" t="s">
        <v>18</v>
      </c>
      <c r="E214" s="1">
        <v>31656</v>
      </c>
      <c r="F214" s="1">
        <v>45107</v>
      </c>
      <c r="G214">
        <v>30</v>
      </c>
      <c r="H214" t="s">
        <v>209</v>
      </c>
      <c r="I214" t="s">
        <v>39</v>
      </c>
      <c r="J214" t="s">
        <v>21</v>
      </c>
      <c r="K214" t="s">
        <v>22</v>
      </c>
      <c r="L214">
        <v>7250</v>
      </c>
      <c r="M214" t="s">
        <v>32</v>
      </c>
      <c r="N214" s="1"/>
      <c r="O214" t="s">
        <v>33</v>
      </c>
      <c r="P214" t="s">
        <v>364</v>
      </c>
    </row>
    <row r="215" spans="1:16" x14ac:dyDescent="0.3">
      <c r="A215">
        <v>1078</v>
      </c>
      <c r="B215" t="s">
        <v>365</v>
      </c>
      <c r="C215" t="s">
        <v>206</v>
      </c>
      <c r="D215" t="s">
        <v>18</v>
      </c>
      <c r="E215" s="1">
        <v>31913</v>
      </c>
      <c r="F215" s="1">
        <v>43968</v>
      </c>
      <c r="G215">
        <v>40</v>
      </c>
      <c r="H215" t="s">
        <v>120</v>
      </c>
      <c r="I215" t="s">
        <v>30</v>
      </c>
      <c r="J215" t="s">
        <v>21</v>
      </c>
      <c r="K215" t="s">
        <v>22</v>
      </c>
      <c r="L215">
        <v>5500</v>
      </c>
      <c r="M215" t="s">
        <v>32</v>
      </c>
      <c r="N215" s="1"/>
      <c r="O215" t="s">
        <v>33</v>
      </c>
      <c r="P215" t="s">
        <v>366</v>
      </c>
    </row>
    <row r="216" spans="1:16" x14ac:dyDescent="0.3">
      <c r="A216">
        <v>1295</v>
      </c>
      <c r="B216" t="s">
        <v>125</v>
      </c>
      <c r="C216" t="s">
        <v>131</v>
      </c>
      <c r="D216" t="s">
        <v>18</v>
      </c>
      <c r="E216" s="1">
        <v>32729</v>
      </c>
      <c r="F216" s="1">
        <v>44489</v>
      </c>
      <c r="G216">
        <v>80</v>
      </c>
      <c r="H216" t="s">
        <v>159</v>
      </c>
      <c r="I216" t="s">
        <v>30</v>
      </c>
      <c r="J216" t="s">
        <v>21</v>
      </c>
      <c r="K216" t="s">
        <v>22</v>
      </c>
      <c r="L216">
        <v>8550</v>
      </c>
      <c r="M216" t="s">
        <v>23</v>
      </c>
      <c r="N216" s="1">
        <v>44668</v>
      </c>
      <c r="O216" t="s">
        <v>186</v>
      </c>
      <c r="P216" t="s">
        <v>367</v>
      </c>
    </row>
    <row r="217" spans="1:16" x14ac:dyDescent="0.3">
      <c r="A217">
        <v>1437</v>
      </c>
      <c r="B217" t="s">
        <v>368</v>
      </c>
      <c r="C217" t="s">
        <v>107</v>
      </c>
      <c r="D217" t="s">
        <v>37</v>
      </c>
      <c r="E217" s="1">
        <v>29995</v>
      </c>
      <c r="F217" s="1">
        <v>42390</v>
      </c>
      <c r="G217">
        <v>20</v>
      </c>
      <c r="H217" t="s">
        <v>60</v>
      </c>
      <c r="I217" t="s">
        <v>20</v>
      </c>
      <c r="J217" t="s">
        <v>61</v>
      </c>
      <c r="K217" t="s">
        <v>22</v>
      </c>
      <c r="L217">
        <v>9650</v>
      </c>
      <c r="M217" t="s">
        <v>32</v>
      </c>
      <c r="N217" s="1"/>
      <c r="O217" t="s">
        <v>33</v>
      </c>
      <c r="P217" t="s">
        <v>369</v>
      </c>
    </row>
    <row r="218" spans="1:16" x14ac:dyDescent="0.3">
      <c r="A218">
        <v>1280</v>
      </c>
      <c r="B218" t="s">
        <v>136</v>
      </c>
      <c r="C218" t="s">
        <v>370</v>
      </c>
      <c r="D218" t="s">
        <v>37</v>
      </c>
      <c r="E218" s="1">
        <v>32990</v>
      </c>
      <c r="F218" s="1">
        <v>44773</v>
      </c>
      <c r="G218">
        <v>20</v>
      </c>
      <c r="H218" t="s">
        <v>104</v>
      </c>
      <c r="I218" t="s">
        <v>39</v>
      </c>
      <c r="J218" t="s">
        <v>191</v>
      </c>
      <c r="K218" t="s">
        <v>40</v>
      </c>
      <c r="L218">
        <v>6800</v>
      </c>
      <c r="M218" t="s">
        <v>32</v>
      </c>
      <c r="N218" s="1"/>
      <c r="O218" t="s">
        <v>33</v>
      </c>
      <c r="P218" t="s">
        <v>371</v>
      </c>
    </row>
    <row r="219" spans="1:16" x14ac:dyDescent="0.3">
      <c r="A219">
        <v>1059</v>
      </c>
      <c r="B219" t="s">
        <v>134</v>
      </c>
      <c r="C219" t="s">
        <v>171</v>
      </c>
      <c r="D219" t="s">
        <v>18</v>
      </c>
      <c r="E219" s="1">
        <v>33314</v>
      </c>
      <c r="F219" s="1">
        <v>42734</v>
      </c>
      <c r="G219">
        <v>80</v>
      </c>
      <c r="H219" t="s">
        <v>159</v>
      </c>
      <c r="I219" t="s">
        <v>45</v>
      </c>
      <c r="J219" t="s">
        <v>21</v>
      </c>
      <c r="K219" t="s">
        <v>22</v>
      </c>
      <c r="L219">
        <v>4950</v>
      </c>
      <c r="M219" t="s">
        <v>32</v>
      </c>
      <c r="N219" s="1"/>
      <c r="O219" t="s">
        <v>33</v>
      </c>
      <c r="P219" t="s">
        <v>372</v>
      </c>
    </row>
    <row r="220" spans="1:16" x14ac:dyDescent="0.3">
      <c r="A220">
        <v>1126</v>
      </c>
      <c r="B220" t="s">
        <v>42</v>
      </c>
      <c r="C220" t="s">
        <v>119</v>
      </c>
      <c r="D220" t="s">
        <v>18</v>
      </c>
      <c r="E220" s="1">
        <v>35044</v>
      </c>
      <c r="F220" s="1">
        <v>43205</v>
      </c>
      <c r="G220">
        <v>20</v>
      </c>
      <c r="H220" t="s">
        <v>68</v>
      </c>
      <c r="I220" t="s">
        <v>39</v>
      </c>
      <c r="J220" t="s">
        <v>132</v>
      </c>
      <c r="K220" t="s">
        <v>22</v>
      </c>
      <c r="L220">
        <v>7500</v>
      </c>
      <c r="M220" t="s">
        <v>32</v>
      </c>
      <c r="N220" s="1"/>
      <c r="O220" t="s">
        <v>33</v>
      </c>
      <c r="P220" t="s">
        <v>373</v>
      </c>
    </row>
    <row r="221" spans="1:16" x14ac:dyDescent="0.3">
      <c r="A221">
        <v>1043</v>
      </c>
      <c r="B221" t="s">
        <v>73</v>
      </c>
      <c r="C221" t="s">
        <v>98</v>
      </c>
      <c r="D221" t="s">
        <v>37</v>
      </c>
      <c r="E221" s="1">
        <v>31295</v>
      </c>
      <c r="F221" s="1">
        <v>45103</v>
      </c>
      <c r="G221">
        <v>80</v>
      </c>
      <c r="H221" t="s">
        <v>159</v>
      </c>
      <c r="I221" t="s">
        <v>45</v>
      </c>
      <c r="J221" t="s">
        <v>21</v>
      </c>
      <c r="K221" t="s">
        <v>40</v>
      </c>
      <c r="L221">
        <v>5450</v>
      </c>
      <c r="M221" t="s">
        <v>23</v>
      </c>
      <c r="N221" s="1">
        <v>45777</v>
      </c>
      <c r="O221" t="s">
        <v>186</v>
      </c>
      <c r="P221" t="s">
        <v>374</v>
      </c>
    </row>
    <row r="222" spans="1:16" x14ac:dyDescent="0.3">
      <c r="A222">
        <v>1005</v>
      </c>
      <c r="B222" t="s">
        <v>122</v>
      </c>
      <c r="C222" t="s">
        <v>144</v>
      </c>
      <c r="D222" t="s">
        <v>37</v>
      </c>
      <c r="E222" s="1">
        <v>30482</v>
      </c>
      <c r="F222" s="1">
        <v>44866</v>
      </c>
      <c r="G222">
        <v>60</v>
      </c>
      <c r="H222" t="s">
        <v>29</v>
      </c>
      <c r="I222" t="s">
        <v>39</v>
      </c>
      <c r="J222" t="s">
        <v>52</v>
      </c>
      <c r="K222" t="s">
        <v>22</v>
      </c>
      <c r="L222">
        <v>5900</v>
      </c>
      <c r="M222" t="s">
        <v>32</v>
      </c>
      <c r="N222" s="1"/>
      <c r="O222" t="s">
        <v>33</v>
      </c>
      <c r="P222" t="s">
        <v>375</v>
      </c>
    </row>
    <row r="223" spans="1:16" x14ac:dyDescent="0.3">
      <c r="A223">
        <v>1122</v>
      </c>
      <c r="B223" t="s">
        <v>80</v>
      </c>
      <c r="C223" t="s">
        <v>90</v>
      </c>
      <c r="D223" t="s">
        <v>18</v>
      </c>
      <c r="E223" s="1">
        <v>30115</v>
      </c>
      <c r="F223" s="1">
        <v>42531</v>
      </c>
      <c r="G223">
        <v>70</v>
      </c>
      <c r="H223" t="s">
        <v>38</v>
      </c>
      <c r="I223" t="s">
        <v>30</v>
      </c>
      <c r="J223" t="s">
        <v>21</v>
      </c>
      <c r="K223" t="s">
        <v>22</v>
      </c>
      <c r="L223">
        <v>4300</v>
      </c>
      <c r="M223" t="s">
        <v>32</v>
      </c>
      <c r="N223" s="1"/>
      <c r="O223" t="s">
        <v>33</v>
      </c>
      <c r="P223" t="s">
        <v>376</v>
      </c>
    </row>
    <row r="224" spans="1:16" x14ac:dyDescent="0.3">
      <c r="A224">
        <v>1169</v>
      </c>
      <c r="B224" t="s">
        <v>54</v>
      </c>
      <c r="C224" t="s">
        <v>131</v>
      </c>
      <c r="D224" t="s">
        <v>18</v>
      </c>
      <c r="E224" s="1">
        <v>34725</v>
      </c>
      <c r="F224" s="1">
        <v>43311</v>
      </c>
      <c r="G224">
        <v>70</v>
      </c>
      <c r="H224" t="s">
        <v>116</v>
      </c>
      <c r="I224" t="s">
        <v>219</v>
      </c>
      <c r="J224" t="s">
        <v>296</v>
      </c>
      <c r="K224" t="s">
        <v>22</v>
      </c>
      <c r="M224" t="s">
        <v>32</v>
      </c>
      <c r="N224" s="1"/>
      <c r="O224" t="s">
        <v>33</v>
      </c>
      <c r="P224" t="s">
        <v>377</v>
      </c>
    </row>
    <row r="225" spans="1:16" x14ac:dyDescent="0.3">
      <c r="A225">
        <v>1141</v>
      </c>
      <c r="B225" t="s">
        <v>48</v>
      </c>
      <c r="C225" t="s">
        <v>200</v>
      </c>
      <c r="D225" t="s">
        <v>18</v>
      </c>
      <c r="E225" s="1">
        <v>35412</v>
      </c>
      <c r="F225" s="1">
        <v>43186</v>
      </c>
      <c r="G225">
        <v>20</v>
      </c>
      <c r="H225" t="s">
        <v>104</v>
      </c>
      <c r="I225" t="s">
        <v>45</v>
      </c>
      <c r="J225" t="s">
        <v>21</v>
      </c>
      <c r="K225" t="s">
        <v>22</v>
      </c>
      <c r="L225">
        <v>3800</v>
      </c>
      <c r="M225" t="s">
        <v>23</v>
      </c>
      <c r="N225" s="1">
        <v>45225</v>
      </c>
      <c r="O225" t="s">
        <v>186</v>
      </c>
      <c r="P225" t="s">
        <v>378</v>
      </c>
    </row>
    <row r="226" spans="1:16" x14ac:dyDescent="0.3">
      <c r="A226">
        <v>1231</v>
      </c>
      <c r="B226" t="s">
        <v>54</v>
      </c>
      <c r="C226" t="s">
        <v>171</v>
      </c>
      <c r="D226" t="s">
        <v>18</v>
      </c>
      <c r="E226" s="1">
        <v>34936</v>
      </c>
      <c r="F226" s="1">
        <v>43238</v>
      </c>
      <c r="G226">
        <v>30</v>
      </c>
      <c r="H226" t="s">
        <v>56</v>
      </c>
      <c r="I226" t="s">
        <v>45</v>
      </c>
      <c r="J226" t="s">
        <v>21</v>
      </c>
      <c r="K226" t="s">
        <v>22</v>
      </c>
      <c r="L226">
        <v>4250</v>
      </c>
      <c r="M226" t="s">
        <v>32</v>
      </c>
      <c r="N226" s="1"/>
      <c r="O226" t="s">
        <v>33</v>
      </c>
      <c r="P226" t="s">
        <v>379</v>
      </c>
    </row>
    <row r="227" spans="1:16" x14ac:dyDescent="0.3">
      <c r="A227">
        <v>1430</v>
      </c>
      <c r="B227" t="s">
        <v>26</v>
      </c>
      <c r="C227" t="s">
        <v>59</v>
      </c>
      <c r="D227" t="s">
        <v>18</v>
      </c>
      <c r="E227" s="1">
        <v>32536</v>
      </c>
      <c r="F227" s="1">
        <v>43642</v>
      </c>
      <c r="H227" t="s">
        <v>104</v>
      </c>
      <c r="I227" t="s">
        <v>45</v>
      </c>
      <c r="J227" t="s">
        <v>21</v>
      </c>
      <c r="K227" t="s">
        <v>22</v>
      </c>
      <c r="L227">
        <v>3900</v>
      </c>
      <c r="M227" t="s">
        <v>32</v>
      </c>
      <c r="N227" s="1"/>
      <c r="O227" t="s">
        <v>33</v>
      </c>
      <c r="P227" t="s">
        <v>380</v>
      </c>
    </row>
    <row r="228" spans="1:16" x14ac:dyDescent="0.3">
      <c r="A228">
        <v>1321</v>
      </c>
      <c r="B228" t="s">
        <v>122</v>
      </c>
      <c r="C228" t="s">
        <v>198</v>
      </c>
      <c r="D228" t="s">
        <v>18</v>
      </c>
      <c r="E228" s="1">
        <v>34716</v>
      </c>
      <c r="F228" s="1">
        <v>42765</v>
      </c>
      <c r="G228">
        <v>70</v>
      </c>
      <c r="H228" t="s">
        <v>116</v>
      </c>
      <c r="I228" t="s">
        <v>39</v>
      </c>
      <c r="J228" t="s">
        <v>83</v>
      </c>
      <c r="K228" t="s">
        <v>22</v>
      </c>
      <c r="L228">
        <v>6500</v>
      </c>
      <c r="M228" t="s">
        <v>32</v>
      </c>
      <c r="N228" s="1"/>
      <c r="O228" t="s">
        <v>33</v>
      </c>
      <c r="P228" t="s">
        <v>381</v>
      </c>
    </row>
    <row r="229" spans="1:16" x14ac:dyDescent="0.3">
      <c r="A229">
        <v>1110</v>
      </c>
      <c r="B229" t="s">
        <v>157</v>
      </c>
      <c r="C229" t="s">
        <v>382</v>
      </c>
      <c r="D229" t="s">
        <v>37</v>
      </c>
      <c r="E229" s="1">
        <v>32679</v>
      </c>
      <c r="F229" s="1">
        <v>44162</v>
      </c>
      <c r="G229">
        <v>10</v>
      </c>
      <c r="H229" t="s">
        <v>44</v>
      </c>
      <c r="I229" t="s">
        <v>30</v>
      </c>
      <c r="J229" t="s">
        <v>21</v>
      </c>
      <c r="K229" t="s">
        <v>22</v>
      </c>
      <c r="L229">
        <v>8300</v>
      </c>
      <c r="M229" t="s">
        <v>32</v>
      </c>
      <c r="N229" s="1"/>
      <c r="O229" t="s">
        <v>33</v>
      </c>
      <c r="P229" t="s">
        <v>383</v>
      </c>
    </row>
    <row r="230" spans="1:16" x14ac:dyDescent="0.3">
      <c r="A230">
        <v>1119</v>
      </c>
      <c r="B230" t="s">
        <v>122</v>
      </c>
      <c r="C230" t="s">
        <v>17</v>
      </c>
      <c r="D230" t="s">
        <v>18</v>
      </c>
      <c r="E230" s="1">
        <v>32133</v>
      </c>
      <c r="F230" s="1">
        <v>44925</v>
      </c>
      <c r="G230">
        <v>20</v>
      </c>
      <c r="H230" t="s">
        <v>104</v>
      </c>
      <c r="I230" t="s">
        <v>45</v>
      </c>
      <c r="J230" t="s">
        <v>21</v>
      </c>
      <c r="K230" t="s">
        <v>22</v>
      </c>
      <c r="L230">
        <v>3400</v>
      </c>
      <c r="M230" t="s">
        <v>32</v>
      </c>
      <c r="N230" s="1"/>
      <c r="O230" t="s">
        <v>33</v>
      </c>
      <c r="P230" t="s">
        <v>384</v>
      </c>
    </row>
    <row r="231" spans="1:16" x14ac:dyDescent="0.3">
      <c r="A231">
        <v>1206</v>
      </c>
      <c r="B231" t="s">
        <v>125</v>
      </c>
      <c r="C231" t="s">
        <v>59</v>
      </c>
      <c r="D231" t="s">
        <v>18</v>
      </c>
      <c r="E231" s="1">
        <v>35718</v>
      </c>
      <c r="F231" s="1">
        <v>43537</v>
      </c>
      <c r="G231">
        <v>60</v>
      </c>
      <c r="H231" t="s">
        <v>29</v>
      </c>
      <c r="I231" t="s">
        <v>30</v>
      </c>
      <c r="J231" t="s">
        <v>52</v>
      </c>
      <c r="K231" t="s">
        <v>22</v>
      </c>
      <c r="L231">
        <v>4100</v>
      </c>
      <c r="M231" t="s">
        <v>23</v>
      </c>
      <c r="N231" s="1">
        <v>45101</v>
      </c>
      <c r="O231" t="s">
        <v>105</v>
      </c>
      <c r="P231" t="s">
        <v>385</v>
      </c>
    </row>
    <row r="232" spans="1:16" x14ac:dyDescent="0.3">
      <c r="A232">
        <v>1303</v>
      </c>
      <c r="B232" t="s">
        <v>204</v>
      </c>
      <c r="C232" t="s">
        <v>90</v>
      </c>
      <c r="D232" t="s">
        <v>18</v>
      </c>
      <c r="E232" s="1">
        <v>32247</v>
      </c>
      <c r="F232" s="1">
        <v>42962</v>
      </c>
      <c r="G232">
        <v>50</v>
      </c>
      <c r="H232" t="s">
        <v>142</v>
      </c>
      <c r="I232" t="s">
        <v>20</v>
      </c>
      <c r="J232" t="s">
        <v>52</v>
      </c>
      <c r="K232" t="s">
        <v>22</v>
      </c>
      <c r="L232">
        <v>12850</v>
      </c>
      <c r="M232" t="s">
        <v>32</v>
      </c>
      <c r="N232" s="1"/>
      <c r="O232" t="s">
        <v>33</v>
      </c>
      <c r="P232" t="s">
        <v>386</v>
      </c>
    </row>
    <row r="233" spans="1:16" x14ac:dyDescent="0.3">
      <c r="A233">
        <v>1005</v>
      </c>
      <c r="B233" t="s">
        <v>122</v>
      </c>
      <c r="C233" t="s">
        <v>144</v>
      </c>
      <c r="D233" t="s">
        <v>37</v>
      </c>
      <c r="E233" s="1">
        <v>30482</v>
      </c>
      <c r="F233" s="1">
        <v>44866</v>
      </c>
      <c r="G233">
        <v>60</v>
      </c>
      <c r="H233" t="s">
        <v>29</v>
      </c>
      <c r="I233" t="s">
        <v>39</v>
      </c>
      <c r="J233" t="s">
        <v>52</v>
      </c>
      <c r="K233" t="s">
        <v>22</v>
      </c>
      <c r="L233">
        <v>5900</v>
      </c>
      <c r="M233" t="s">
        <v>32</v>
      </c>
      <c r="N233" s="1"/>
      <c r="O233" t="s">
        <v>33</v>
      </c>
      <c r="P233" t="s">
        <v>375</v>
      </c>
    </row>
    <row r="234" spans="1:16" x14ac:dyDescent="0.3">
      <c r="A234">
        <v>1307</v>
      </c>
      <c r="B234" t="s">
        <v>204</v>
      </c>
      <c r="C234" t="s">
        <v>36</v>
      </c>
      <c r="D234" t="s">
        <v>37</v>
      </c>
      <c r="E234" s="1">
        <v>30385</v>
      </c>
      <c r="F234" s="1">
        <v>45329</v>
      </c>
      <c r="G234">
        <v>10</v>
      </c>
      <c r="H234" t="s">
        <v>275</v>
      </c>
      <c r="I234" t="s">
        <v>20</v>
      </c>
      <c r="J234" t="s">
        <v>21</v>
      </c>
      <c r="K234" t="s">
        <v>22</v>
      </c>
      <c r="L234">
        <v>15300</v>
      </c>
      <c r="M234" t="s">
        <v>32</v>
      </c>
      <c r="N234" s="1"/>
      <c r="O234" t="s">
        <v>33</v>
      </c>
      <c r="P234" t="s">
        <v>387</v>
      </c>
    </row>
    <row r="235" spans="1:16" x14ac:dyDescent="0.3">
      <c r="A235">
        <v>1007</v>
      </c>
      <c r="B235" t="s">
        <v>122</v>
      </c>
      <c r="C235" t="s">
        <v>103</v>
      </c>
      <c r="D235" t="s">
        <v>96</v>
      </c>
      <c r="E235" s="1">
        <v>29353</v>
      </c>
      <c r="F235" s="1">
        <v>45896</v>
      </c>
      <c r="G235">
        <v>50</v>
      </c>
      <c r="H235" t="s">
        <v>123</v>
      </c>
      <c r="I235" t="s">
        <v>39</v>
      </c>
      <c r="J235" t="s">
        <v>52</v>
      </c>
      <c r="K235" t="s">
        <v>22</v>
      </c>
      <c r="L235">
        <v>10300</v>
      </c>
      <c r="M235" t="s">
        <v>32</v>
      </c>
      <c r="N235" s="1"/>
      <c r="O235" t="s">
        <v>33</v>
      </c>
      <c r="P235" t="s">
        <v>388</v>
      </c>
    </row>
    <row r="236" spans="1:16" x14ac:dyDescent="0.3">
      <c r="A236">
        <v>1355</v>
      </c>
      <c r="B236" t="s">
        <v>73</v>
      </c>
      <c r="C236" t="s">
        <v>103</v>
      </c>
      <c r="D236" t="s">
        <v>37</v>
      </c>
      <c r="E236" s="1">
        <v>33520</v>
      </c>
      <c r="F236" s="1">
        <v>45764</v>
      </c>
      <c r="G236">
        <v>70</v>
      </c>
      <c r="H236" t="s">
        <v>116</v>
      </c>
      <c r="I236" t="s">
        <v>45</v>
      </c>
      <c r="J236" t="s">
        <v>31</v>
      </c>
      <c r="K236" t="s">
        <v>22</v>
      </c>
      <c r="L236">
        <v>3300</v>
      </c>
      <c r="M236" t="s">
        <v>23</v>
      </c>
      <c r="N236" s="1">
        <v>45992</v>
      </c>
      <c r="O236" t="s">
        <v>33</v>
      </c>
      <c r="P236" t="s">
        <v>389</v>
      </c>
    </row>
    <row r="237" spans="1:16" x14ac:dyDescent="0.3">
      <c r="A237">
        <v>1102</v>
      </c>
      <c r="B237" t="s">
        <v>204</v>
      </c>
      <c r="C237" t="s">
        <v>110</v>
      </c>
      <c r="D237" t="s">
        <v>37</v>
      </c>
      <c r="E237" s="1">
        <v>28018</v>
      </c>
      <c r="F237" s="1">
        <v>42736</v>
      </c>
      <c r="G237">
        <v>70</v>
      </c>
      <c r="H237" t="s">
        <v>38</v>
      </c>
      <c r="I237" t="s">
        <v>39</v>
      </c>
      <c r="J237" t="s">
        <v>31</v>
      </c>
      <c r="K237" t="s">
        <v>22</v>
      </c>
      <c r="L237">
        <v>8150</v>
      </c>
      <c r="M237" t="s">
        <v>32</v>
      </c>
      <c r="N237" s="1"/>
      <c r="O237" t="s">
        <v>33</v>
      </c>
      <c r="P237" t="s">
        <v>205</v>
      </c>
    </row>
    <row r="238" spans="1:16" x14ac:dyDescent="0.3">
      <c r="A238">
        <v>1255</v>
      </c>
      <c r="B238" t="s">
        <v>92</v>
      </c>
      <c r="C238" t="s">
        <v>206</v>
      </c>
      <c r="D238" t="s">
        <v>18</v>
      </c>
      <c r="E238" s="1">
        <v>36705</v>
      </c>
      <c r="F238" s="1">
        <v>44476</v>
      </c>
      <c r="G238">
        <v>20</v>
      </c>
      <c r="H238" t="s">
        <v>104</v>
      </c>
      <c r="I238" t="s">
        <v>45</v>
      </c>
      <c r="J238" t="s">
        <v>46</v>
      </c>
      <c r="K238" t="s">
        <v>22</v>
      </c>
      <c r="L238">
        <v>3400</v>
      </c>
      <c r="M238" t="s">
        <v>23</v>
      </c>
      <c r="N238" s="1">
        <v>45056</v>
      </c>
      <c r="O238" t="s">
        <v>24</v>
      </c>
      <c r="P238" t="s">
        <v>390</v>
      </c>
    </row>
    <row r="239" spans="1:16" x14ac:dyDescent="0.3">
      <c r="A239">
        <v>1415</v>
      </c>
      <c r="B239" t="s">
        <v>80</v>
      </c>
      <c r="C239" t="s">
        <v>90</v>
      </c>
      <c r="D239" t="s">
        <v>18</v>
      </c>
      <c r="E239" s="1">
        <v>37050</v>
      </c>
      <c r="F239" s="1">
        <v>44574</v>
      </c>
      <c r="G239">
        <v>40</v>
      </c>
      <c r="H239" t="s">
        <v>120</v>
      </c>
      <c r="I239" t="s">
        <v>45</v>
      </c>
      <c r="J239" t="s">
        <v>21</v>
      </c>
      <c r="K239" t="s">
        <v>22</v>
      </c>
      <c r="L239">
        <v>4100</v>
      </c>
      <c r="M239" t="s">
        <v>32</v>
      </c>
      <c r="N239" s="1"/>
      <c r="O239" t="s">
        <v>33</v>
      </c>
      <c r="P239" t="s">
        <v>391</v>
      </c>
    </row>
    <row r="240" spans="1:16" x14ac:dyDescent="0.3">
      <c r="A240">
        <v>1238</v>
      </c>
      <c r="B240" t="s">
        <v>147</v>
      </c>
      <c r="C240" t="s">
        <v>140</v>
      </c>
      <c r="D240" t="s">
        <v>37</v>
      </c>
      <c r="E240" s="1">
        <v>32372</v>
      </c>
      <c r="F240" s="1">
        <v>43662</v>
      </c>
      <c r="G240">
        <v>50</v>
      </c>
      <c r="H240" t="s">
        <v>123</v>
      </c>
      <c r="I240" t="s">
        <v>30</v>
      </c>
      <c r="J240" t="s">
        <v>46</v>
      </c>
      <c r="K240" t="s">
        <v>40</v>
      </c>
      <c r="L240">
        <v>7850</v>
      </c>
      <c r="M240" t="s">
        <v>23</v>
      </c>
      <c r="N240" s="1">
        <v>44223</v>
      </c>
      <c r="O240" t="s">
        <v>105</v>
      </c>
      <c r="P240" t="s">
        <v>392</v>
      </c>
    </row>
    <row r="241" spans="1:16" x14ac:dyDescent="0.3">
      <c r="A241">
        <v>1411</v>
      </c>
      <c r="B241" t="s">
        <v>48</v>
      </c>
      <c r="C241" t="s">
        <v>140</v>
      </c>
      <c r="D241" t="s">
        <v>37</v>
      </c>
      <c r="E241" s="1">
        <v>31764</v>
      </c>
      <c r="F241" s="1">
        <v>43972</v>
      </c>
      <c r="G241">
        <v>20</v>
      </c>
      <c r="H241" t="s">
        <v>104</v>
      </c>
      <c r="I241" t="s">
        <v>30</v>
      </c>
      <c r="J241" t="s">
        <v>21</v>
      </c>
      <c r="K241" t="s">
        <v>22</v>
      </c>
      <c r="L241">
        <v>6650</v>
      </c>
      <c r="M241" t="s">
        <v>32</v>
      </c>
      <c r="N241" s="1"/>
      <c r="O241" t="s">
        <v>33</v>
      </c>
      <c r="P241" t="s">
        <v>393</v>
      </c>
    </row>
    <row r="242" spans="1:16" x14ac:dyDescent="0.3">
      <c r="A242">
        <v>1248</v>
      </c>
      <c r="B242" t="s">
        <v>64</v>
      </c>
      <c r="C242" t="s">
        <v>171</v>
      </c>
      <c r="D242" t="s">
        <v>18</v>
      </c>
      <c r="E242" s="1">
        <v>31111</v>
      </c>
      <c r="F242" s="1">
        <v>44002</v>
      </c>
      <c r="G242">
        <v>60</v>
      </c>
      <c r="H242" t="s">
        <v>78</v>
      </c>
      <c r="I242" t="s">
        <v>30</v>
      </c>
      <c r="J242" t="s">
        <v>264</v>
      </c>
      <c r="K242" t="s">
        <v>22</v>
      </c>
      <c r="L242">
        <v>4700</v>
      </c>
      <c r="M242" t="s">
        <v>32</v>
      </c>
      <c r="N242" s="1"/>
      <c r="O242" t="s">
        <v>33</v>
      </c>
      <c r="P242" t="s">
        <v>394</v>
      </c>
    </row>
    <row r="243" spans="1:16" x14ac:dyDescent="0.3">
      <c r="A243">
        <v>1390</v>
      </c>
      <c r="B243" t="s">
        <v>122</v>
      </c>
      <c r="C243" t="s">
        <v>178</v>
      </c>
      <c r="D243" t="s">
        <v>18</v>
      </c>
      <c r="E243" s="1">
        <v>28277</v>
      </c>
      <c r="F243" s="1">
        <v>44167</v>
      </c>
      <c r="G243">
        <v>60</v>
      </c>
      <c r="H243" t="s">
        <v>19</v>
      </c>
      <c r="I243" t="s">
        <v>20</v>
      </c>
      <c r="J243" t="s">
        <v>52</v>
      </c>
      <c r="K243" t="s">
        <v>22</v>
      </c>
      <c r="M243" t="s">
        <v>32</v>
      </c>
      <c r="N243" s="1"/>
      <c r="O243" t="s">
        <v>33</v>
      </c>
      <c r="P243" t="s">
        <v>395</v>
      </c>
    </row>
    <row r="244" spans="1:16" x14ac:dyDescent="0.3">
      <c r="A244">
        <v>1022</v>
      </c>
      <c r="B244" t="s">
        <v>396</v>
      </c>
      <c r="C244" t="s">
        <v>140</v>
      </c>
      <c r="D244" t="s">
        <v>55</v>
      </c>
      <c r="E244" s="1">
        <v>35612</v>
      </c>
      <c r="F244" s="1">
        <v>43983</v>
      </c>
      <c r="G244">
        <v>20</v>
      </c>
      <c r="H244" t="s">
        <v>104</v>
      </c>
      <c r="I244" t="s">
        <v>45</v>
      </c>
      <c r="J244" t="s">
        <v>21</v>
      </c>
      <c r="K244" t="s">
        <v>22</v>
      </c>
      <c r="L244">
        <v>37500</v>
      </c>
      <c r="M244" t="s">
        <v>23</v>
      </c>
      <c r="N244" s="1">
        <v>45687</v>
      </c>
      <c r="O244" t="s">
        <v>117</v>
      </c>
      <c r="P244" t="s">
        <v>397</v>
      </c>
    </row>
    <row r="245" spans="1:16" x14ac:dyDescent="0.3">
      <c r="A245">
        <v>1431</v>
      </c>
      <c r="B245" t="s">
        <v>150</v>
      </c>
      <c r="C245" t="s">
        <v>178</v>
      </c>
      <c r="D245" t="s">
        <v>18</v>
      </c>
      <c r="E245" s="1">
        <v>34476</v>
      </c>
      <c r="F245" s="1">
        <v>42511</v>
      </c>
      <c r="G245">
        <v>30</v>
      </c>
      <c r="H245" t="s">
        <v>209</v>
      </c>
      <c r="I245" t="s">
        <v>39</v>
      </c>
      <c r="J245" t="s">
        <v>31</v>
      </c>
      <c r="K245" t="s">
        <v>40</v>
      </c>
      <c r="L245">
        <v>9250</v>
      </c>
      <c r="M245" t="s">
        <v>32</v>
      </c>
      <c r="N245" s="1"/>
      <c r="O245" t="s">
        <v>33</v>
      </c>
      <c r="P245" t="s">
        <v>398</v>
      </c>
    </row>
    <row r="246" spans="1:16" x14ac:dyDescent="0.3">
      <c r="A246">
        <v>1004</v>
      </c>
      <c r="B246" t="s">
        <v>80</v>
      </c>
      <c r="C246" t="s">
        <v>163</v>
      </c>
      <c r="D246" t="s">
        <v>18</v>
      </c>
      <c r="E246" s="1">
        <v>29832</v>
      </c>
      <c r="F246" s="1">
        <v>43917</v>
      </c>
      <c r="G246">
        <v>60</v>
      </c>
      <c r="H246" t="s">
        <v>29</v>
      </c>
      <c r="I246" t="s">
        <v>39</v>
      </c>
      <c r="J246" t="s">
        <v>21</v>
      </c>
      <c r="K246" t="s">
        <v>22</v>
      </c>
      <c r="L246">
        <v>5500</v>
      </c>
      <c r="M246" t="s">
        <v>23</v>
      </c>
      <c r="N246" s="1">
        <v>44636</v>
      </c>
      <c r="O246" t="s">
        <v>105</v>
      </c>
      <c r="P246" t="s">
        <v>399</v>
      </c>
    </row>
    <row r="247" spans="1:16" x14ac:dyDescent="0.3">
      <c r="A247">
        <v>1260</v>
      </c>
      <c r="B247" t="s">
        <v>150</v>
      </c>
      <c r="C247" t="s">
        <v>17</v>
      </c>
      <c r="D247" t="s">
        <v>18</v>
      </c>
      <c r="E247" s="1">
        <v>29428</v>
      </c>
      <c r="F247" s="1">
        <v>44995</v>
      </c>
      <c r="G247">
        <v>70</v>
      </c>
      <c r="H247" t="s">
        <v>38</v>
      </c>
      <c r="I247" t="s">
        <v>39</v>
      </c>
      <c r="J247" t="s">
        <v>31</v>
      </c>
      <c r="K247" t="s">
        <v>22</v>
      </c>
      <c r="L247">
        <v>6800</v>
      </c>
      <c r="M247" t="s">
        <v>32</v>
      </c>
      <c r="N247" s="1"/>
      <c r="O247" t="s">
        <v>33</v>
      </c>
      <c r="P247" t="s">
        <v>400</v>
      </c>
    </row>
    <row r="248" spans="1:16" x14ac:dyDescent="0.3">
      <c r="A248">
        <v>1212</v>
      </c>
      <c r="B248" t="s">
        <v>100</v>
      </c>
      <c r="C248" t="s">
        <v>200</v>
      </c>
      <c r="D248" t="s">
        <v>18</v>
      </c>
      <c r="E248" s="1">
        <v>29625</v>
      </c>
      <c r="F248" s="1">
        <v>43472</v>
      </c>
      <c r="G248">
        <v>70</v>
      </c>
      <c r="H248" t="s">
        <v>116</v>
      </c>
      <c r="I248" t="s">
        <v>30</v>
      </c>
      <c r="J248" t="s">
        <v>31</v>
      </c>
      <c r="K248" t="s">
        <v>40</v>
      </c>
      <c r="L248">
        <v>4000</v>
      </c>
      <c r="M248" t="s">
        <v>32</v>
      </c>
      <c r="N248" s="1"/>
      <c r="O248" t="s">
        <v>33</v>
      </c>
      <c r="P248" t="s">
        <v>401</v>
      </c>
    </row>
    <row r="249" spans="1:16" x14ac:dyDescent="0.3">
      <c r="A249">
        <v>1123</v>
      </c>
      <c r="B249" t="s">
        <v>67</v>
      </c>
      <c r="C249" t="s">
        <v>126</v>
      </c>
      <c r="D249" t="s">
        <v>55</v>
      </c>
      <c r="E249" s="1">
        <v>35501</v>
      </c>
      <c r="F249" s="1">
        <v>45754</v>
      </c>
      <c r="H249" t="s">
        <v>44</v>
      </c>
      <c r="I249" t="s">
        <v>45</v>
      </c>
      <c r="J249" t="s">
        <v>52</v>
      </c>
      <c r="K249" t="s">
        <v>22</v>
      </c>
      <c r="L249">
        <v>6650</v>
      </c>
      <c r="M249" t="s">
        <v>32</v>
      </c>
      <c r="N249" s="1"/>
      <c r="O249" t="s">
        <v>33</v>
      </c>
      <c r="P249" t="s">
        <v>402</v>
      </c>
    </row>
    <row r="250" spans="1:16" x14ac:dyDescent="0.3">
      <c r="A250">
        <v>1079</v>
      </c>
      <c r="B250" t="s">
        <v>136</v>
      </c>
      <c r="C250" t="s">
        <v>200</v>
      </c>
      <c r="D250" t="s">
        <v>148</v>
      </c>
      <c r="E250" s="1">
        <v>30327</v>
      </c>
      <c r="F250" s="1">
        <v>43105</v>
      </c>
      <c r="G250">
        <v>50</v>
      </c>
      <c r="H250" t="s">
        <v>71</v>
      </c>
      <c r="I250" t="s">
        <v>45</v>
      </c>
      <c r="J250" t="s">
        <v>52</v>
      </c>
      <c r="K250" t="s">
        <v>22</v>
      </c>
      <c r="L250">
        <v>4700</v>
      </c>
      <c r="M250" t="s">
        <v>32</v>
      </c>
      <c r="N250" s="1"/>
      <c r="O250" t="s">
        <v>33</v>
      </c>
      <c r="P250" t="s">
        <v>403</v>
      </c>
    </row>
    <row r="251" spans="1:16" x14ac:dyDescent="0.3">
      <c r="A251">
        <v>1388</v>
      </c>
      <c r="B251" t="s">
        <v>89</v>
      </c>
      <c r="C251" t="s">
        <v>144</v>
      </c>
      <c r="D251" t="s">
        <v>37</v>
      </c>
      <c r="E251" s="1">
        <v>34020</v>
      </c>
      <c r="F251" s="1">
        <v>43610</v>
      </c>
      <c r="G251">
        <v>20</v>
      </c>
      <c r="H251" t="s">
        <v>104</v>
      </c>
      <c r="I251" t="s">
        <v>242</v>
      </c>
      <c r="J251" t="s">
        <v>21</v>
      </c>
      <c r="K251" t="s">
        <v>22</v>
      </c>
      <c r="L251">
        <v>8400</v>
      </c>
      <c r="M251" t="s">
        <v>301</v>
      </c>
      <c r="N251" s="1">
        <v>46020</v>
      </c>
      <c r="O251" t="s">
        <v>117</v>
      </c>
      <c r="P251" t="s">
        <v>404</v>
      </c>
    </row>
    <row r="252" spans="1:16" x14ac:dyDescent="0.3">
      <c r="A252">
        <v>1468</v>
      </c>
      <c r="B252" t="s">
        <v>136</v>
      </c>
      <c r="C252" t="s">
        <v>216</v>
      </c>
      <c r="D252" t="s">
        <v>18</v>
      </c>
      <c r="E252" s="1">
        <v>33926</v>
      </c>
      <c r="F252" s="1">
        <v>45713</v>
      </c>
      <c r="G252">
        <v>30</v>
      </c>
      <c r="H252" t="s">
        <v>209</v>
      </c>
      <c r="I252" t="s">
        <v>30</v>
      </c>
      <c r="J252" t="s">
        <v>264</v>
      </c>
      <c r="K252" t="s">
        <v>22</v>
      </c>
      <c r="L252">
        <v>6700</v>
      </c>
      <c r="M252" t="s">
        <v>32</v>
      </c>
      <c r="N252" s="1"/>
      <c r="O252" t="s">
        <v>33</v>
      </c>
      <c r="P252" t="s">
        <v>405</v>
      </c>
    </row>
    <row r="253" spans="1:16" x14ac:dyDescent="0.3">
      <c r="A253">
        <v>1219</v>
      </c>
      <c r="B253" t="s">
        <v>64</v>
      </c>
      <c r="C253" t="s">
        <v>266</v>
      </c>
      <c r="D253" t="s">
        <v>55</v>
      </c>
      <c r="E253" s="1">
        <v>33657</v>
      </c>
      <c r="F253" s="1">
        <v>45863</v>
      </c>
      <c r="G253">
        <v>70</v>
      </c>
      <c r="H253" t="s">
        <v>38</v>
      </c>
      <c r="I253" t="s">
        <v>39</v>
      </c>
      <c r="J253" t="s">
        <v>31</v>
      </c>
      <c r="K253" t="s">
        <v>22</v>
      </c>
      <c r="L253">
        <v>7300</v>
      </c>
      <c r="M253" t="s">
        <v>32</v>
      </c>
      <c r="N253" s="1"/>
      <c r="O253" t="s">
        <v>33</v>
      </c>
      <c r="P253" t="s">
        <v>406</v>
      </c>
    </row>
    <row r="254" spans="1:16" x14ac:dyDescent="0.3">
      <c r="A254">
        <v>1266</v>
      </c>
      <c r="B254" t="s">
        <v>407</v>
      </c>
      <c r="C254" t="s">
        <v>119</v>
      </c>
      <c r="D254" t="s">
        <v>18</v>
      </c>
      <c r="E254" s="1">
        <v>31818</v>
      </c>
      <c r="F254" s="1">
        <v>43844</v>
      </c>
      <c r="G254">
        <v>70</v>
      </c>
      <c r="H254" t="s">
        <v>116</v>
      </c>
      <c r="I254" t="s">
        <v>30</v>
      </c>
      <c r="J254" t="s">
        <v>21</v>
      </c>
      <c r="K254" t="s">
        <v>22</v>
      </c>
      <c r="L254">
        <v>5250</v>
      </c>
      <c r="M254" t="s">
        <v>32</v>
      </c>
      <c r="N254" s="1"/>
      <c r="O254" t="s">
        <v>33</v>
      </c>
      <c r="P254" t="s">
        <v>408</v>
      </c>
    </row>
    <row r="255" spans="1:16" x14ac:dyDescent="0.3">
      <c r="A255">
        <v>1065</v>
      </c>
      <c r="B255" t="s">
        <v>73</v>
      </c>
      <c r="C255" t="s">
        <v>131</v>
      </c>
      <c r="D255" t="s">
        <v>18</v>
      </c>
      <c r="E255" s="1">
        <v>32775</v>
      </c>
      <c r="F255" s="1">
        <v>44937</v>
      </c>
      <c r="G255">
        <v>10</v>
      </c>
      <c r="H255" t="s">
        <v>108</v>
      </c>
      <c r="I255" t="s">
        <v>39</v>
      </c>
      <c r="J255" t="s">
        <v>21</v>
      </c>
      <c r="K255" t="s">
        <v>22</v>
      </c>
      <c r="L255">
        <v>13000</v>
      </c>
      <c r="M255" t="s">
        <v>32</v>
      </c>
      <c r="N255" s="1"/>
      <c r="O255" t="s">
        <v>33</v>
      </c>
      <c r="P255" t="s">
        <v>409</v>
      </c>
    </row>
    <row r="256" spans="1:16" x14ac:dyDescent="0.3">
      <c r="A256">
        <v>1019</v>
      </c>
      <c r="B256" t="s">
        <v>80</v>
      </c>
      <c r="C256" t="s">
        <v>171</v>
      </c>
      <c r="D256" t="s">
        <v>18</v>
      </c>
      <c r="E256" s="1">
        <v>37146</v>
      </c>
      <c r="F256" s="1">
        <v>44930</v>
      </c>
      <c r="G256">
        <v>60</v>
      </c>
      <c r="H256" t="s">
        <v>29</v>
      </c>
      <c r="I256" t="s">
        <v>45</v>
      </c>
      <c r="J256" t="s">
        <v>52</v>
      </c>
      <c r="K256" t="s">
        <v>22</v>
      </c>
      <c r="L256">
        <v>3550</v>
      </c>
      <c r="M256" t="s">
        <v>32</v>
      </c>
      <c r="N256" s="1"/>
      <c r="O256" t="s">
        <v>33</v>
      </c>
      <c r="P256" t="s">
        <v>410</v>
      </c>
    </row>
    <row r="257" spans="1:16" x14ac:dyDescent="0.3">
      <c r="A257">
        <v>1343</v>
      </c>
      <c r="B257" t="s">
        <v>64</v>
      </c>
      <c r="C257" t="s">
        <v>98</v>
      </c>
      <c r="D257" t="s">
        <v>37</v>
      </c>
      <c r="E257" s="1">
        <v>35415</v>
      </c>
      <c r="F257" s="1">
        <v>45513</v>
      </c>
      <c r="G257">
        <v>70</v>
      </c>
      <c r="H257" t="s">
        <v>116</v>
      </c>
      <c r="I257" t="s">
        <v>219</v>
      </c>
      <c r="J257" t="s">
        <v>21</v>
      </c>
      <c r="K257" t="s">
        <v>22</v>
      </c>
      <c r="L257">
        <v>5150</v>
      </c>
      <c r="M257" t="s">
        <v>32</v>
      </c>
      <c r="N257" s="1"/>
      <c r="O257" t="s">
        <v>33</v>
      </c>
      <c r="P257" t="s">
        <v>411</v>
      </c>
    </row>
    <row r="258" spans="1:16" x14ac:dyDescent="0.3">
      <c r="A258">
        <v>1152</v>
      </c>
      <c r="B258" t="s">
        <v>164</v>
      </c>
      <c r="C258" t="s">
        <v>412</v>
      </c>
      <c r="D258" t="s">
        <v>37</v>
      </c>
      <c r="E258" s="1">
        <v>35981</v>
      </c>
      <c r="F258" s="1">
        <v>43505</v>
      </c>
      <c r="G258">
        <v>20</v>
      </c>
      <c r="H258" t="s">
        <v>68</v>
      </c>
      <c r="I258" t="s">
        <v>30</v>
      </c>
      <c r="J258" t="s">
        <v>21</v>
      </c>
      <c r="K258" t="s">
        <v>22</v>
      </c>
      <c r="L258">
        <v>5600</v>
      </c>
      <c r="M258" t="s">
        <v>23</v>
      </c>
      <c r="N258" s="1">
        <v>44821</v>
      </c>
      <c r="O258" t="s">
        <v>105</v>
      </c>
      <c r="P258" t="s">
        <v>413</v>
      </c>
    </row>
    <row r="259" spans="1:16" x14ac:dyDescent="0.3">
      <c r="A259">
        <v>1281</v>
      </c>
      <c r="B259" t="s">
        <v>204</v>
      </c>
      <c r="C259" t="s">
        <v>131</v>
      </c>
      <c r="D259" t="s">
        <v>18</v>
      </c>
      <c r="E259" s="1">
        <v>31150</v>
      </c>
      <c r="F259" s="1">
        <v>42649</v>
      </c>
      <c r="G259">
        <v>70</v>
      </c>
      <c r="H259" t="s">
        <v>38</v>
      </c>
      <c r="I259" t="s">
        <v>45</v>
      </c>
      <c r="J259" t="s">
        <v>31</v>
      </c>
      <c r="K259" t="s">
        <v>22</v>
      </c>
      <c r="L259">
        <v>3300</v>
      </c>
      <c r="M259" t="s">
        <v>32</v>
      </c>
      <c r="N259" s="1"/>
      <c r="O259" t="s">
        <v>33</v>
      </c>
      <c r="P259" t="s">
        <v>414</v>
      </c>
    </row>
    <row r="260" spans="1:16" x14ac:dyDescent="0.3">
      <c r="A260">
        <v>1164</v>
      </c>
      <c r="B260" t="s">
        <v>188</v>
      </c>
      <c r="C260" t="s">
        <v>224</v>
      </c>
      <c r="D260" t="s">
        <v>37</v>
      </c>
      <c r="E260" s="1">
        <v>32096</v>
      </c>
      <c r="F260" s="1">
        <v>42390</v>
      </c>
      <c r="G260">
        <v>30</v>
      </c>
      <c r="H260" t="s">
        <v>209</v>
      </c>
      <c r="I260" t="s">
        <v>39</v>
      </c>
      <c r="J260" t="s">
        <v>46</v>
      </c>
      <c r="K260" t="s">
        <v>22</v>
      </c>
      <c r="L260">
        <v>8000</v>
      </c>
      <c r="M260" t="s">
        <v>23</v>
      </c>
      <c r="N260" s="1">
        <v>42824</v>
      </c>
      <c r="O260" t="s">
        <v>186</v>
      </c>
      <c r="P260" t="s">
        <v>415</v>
      </c>
    </row>
    <row r="261" spans="1:16" x14ac:dyDescent="0.3">
      <c r="A261">
        <v>1330</v>
      </c>
      <c r="B261" t="s">
        <v>115</v>
      </c>
      <c r="C261" t="s">
        <v>213</v>
      </c>
      <c r="D261" t="s">
        <v>18</v>
      </c>
      <c r="E261" s="1">
        <v>29550</v>
      </c>
      <c r="F261" s="1">
        <v>43365</v>
      </c>
      <c r="G261">
        <v>60</v>
      </c>
      <c r="H261" t="s">
        <v>78</v>
      </c>
      <c r="I261" t="s">
        <v>30</v>
      </c>
      <c r="J261" t="s">
        <v>21</v>
      </c>
      <c r="K261" t="s">
        <v>22</v>
      </c>
      <c r="L261">
        <v>4200</v>
      </c>
      <c r="M261" t="s">
        <v>32</v>
      </c>
      <c r="N261" s="1"/>
      <c r="O261" t="s">
        <v>33</v>
      </c>
      <c r="P261" t="s">
        <v>416</v>
      </c>
    </row>
    <row r="262" spans="1:16" x14ac:dyDescent="0.3">
      <c r="A262">
        <v>1366</v>
      </c>
      <c r="B262" t="s">
        <v>125</v>
      </c>
      <c r="C262" t="s">
        <v>171</v>
      </c>
      <c r="D262" t="s">
        <v>18</v>
      </c>
      <c r="E262" s="1">
        <v>29193</v>
      </c>
      <c r="F262" s="1">
        <v>45411</v>
      </c>
      <c r="G262">
        <v>50</v>
      </c>
      <c r="H262" t="s">
        <v>123</v>
      </c>
      <c r="I262" t="s">
        <v>30</v>
      </c>
      <c r="J262" t="s">
        <v>52</v>
      </c>
      <c r="K262" t="s">
        <v>22</v>
      </c>
      <c r="L262">
        <v>7550</v>
      </c>
      <c r="M262" t="s">
        <v>32</v>
      </c>
      <c r="N262" s="1"/>
      <c r="O262" t="s">
        <v>33</v>
      </c>
      <c r="P262" t="s">
        <v>33</v>
      </c>
    </row>
    <row r="263" spans="1:16" x14ac:dyDescent="0.3">
      <c r="A263">
        <v>1320</v>
      </c>
      <c r="B263" t="s">
        <v>396</v>
      </c>
      <c r="C263" t="s">
        <v>107</v>
      </c>
      <c r="D263" t="s">
        <v>37</v>
      </c>
      <c r="E263" s="1">
        <v>30751</v>
      </c>
      <c r="F263" s="1">
        <v>42628</v>
      </c>
      <c r="G263">
        <v>10</v>
      </c>
      <c r="H263" t="s">
        <v>49</v>
      </c>
      <c r="I263" t="s">
        <v>45</v>
      </c>
      <c r="J263" t="s">
        <v>21</v>
      </c>
      <c r="K263" t="s">
        <v>40</v>
      </c>
      <c r="L263">
        <v>6100</v>
      </c>
      <c r="M263" t="s">
        <v>32</v>
      </c>
      <c r="N263" s="1"/>
      <c r="O263" t="s">
        <v>33</v>
      </c>
      <c r="P263" t="s">
        <v>417</v>
      </c>
    </row>
    <row r="264" spans="1:16" x14ac:dyDescent="0.3">
      <c r="A264">
        <v>1144</v>
      </c>
      <c r="B264" t="s">
        <v>136</v>
      </c>
      <c r="C264" t="s">
        <v>90</v>
      </c>
      <c r="D264" t="s">
        <v>18</v>
      </c>
      <c r="E264" s="1">
        <v>33029</v>
      </c>
      <c r="F264" s="1">
        <v>45136</v>
      </c>
      <c r="G264">
        <v>10</v>
      </c>
      <c r="H264" t="s">
        <v>87</v>
      </c>
      <c r="I264" t="s">
        <v>39</v>
      </c>
      <c r="J264" t="s">
        <v>21</v>
      </c>
      <c r="K264" t="s">
        <v>22</v>
      </c>
      <c r="L264">
        <v>14550</v>
      </c>
      <c r="M264" t="s">
        <v>32</v>
      </c>
      <c r="N264" s="1"/>
      <c r="O264" t="s">
        <v>33</v>
      </c>
      <c r="P264" t="s">
        <v>418</v>
      </c>
    </row>
    <row r="265" spans="1:16" x14ac:dyDescent="0.3">
      <c r="A265">
        <v>1407</v>
      </c>
      <c r="B265" t="s">
        <v>161</v>
      </c>
      <c r="C265" t="s">
        <v>81</v>
      </c>
      <c r="D265" t="s">
        <v>37</v>
      </c>
      <c r="E265" s="1">
        <v>31269</v>
      </c>
      <c r="F265" s="1">
        <v>45343</v>
      </c>
      <c r="G265">
        <v>70</v>
      </c>
      <c r="H265" t="s">
        <v>116</v>
      </c>
      <c r="I265" t="s">
        <v>39</v>
      </c>
      <c r="J265" t="s">
        <v>31</v>
      </c>
      <c r="K265" t="s">
        <v>22</v>
      </c>
      <c r="L265">
        <v>9150</v>
      </c>
      <c r="M265" t="s">
        <v>23</v>
      </c>
      <c r="N265" s="1">
        <v>45807</v>
      </c>
      <c r="O265" t="s">
        <v>186</v>
      </c>
      <c r="P265" t="s">
        <v>419</v>
      </c>
    </row>
    <row r="266" spans="1:16" x14ac:dyDescent="0.3">
      <c r="A266">
        <v>1413</v>
      </c>
      <c r="B266" t="s">
        <v>396</v>
      </c>
      <c r="C266" t="s">
        <v>113</v>
      </c>
      <c r="D266" t="s">
        <v>37</v>
      </c>
      <c r="E266" s="1">
        <v>31348</v>
      </c>
      <c r="F266" s="1">
        <v>44810</v>
      </c>
      <c r="G266">
        <v>50</v>
      </c>
      <c r="H266" t="s">
        <v>71</v>
      </c>
      <c r="I266" t="s">
        <v>30</v>
      </c>
      <c r="J266" t="s">
        <v>52</v>
      </c>
      <c r="K266" t="s">
        <v>22</v>
      </c>
      <c r="L266">
        <v>6300</v>
      </c>
      <c r="M266" t="s">
        <v>32</v>
      </c>
      <c r="N266" s="1"/>
      <c r="O266" t="s">
        <v>33</v>
      </c>
      <c r="P266" t="s">
        <v>420</v>
      </c>
    </row>
    <row r="267" spans="1:16" x14ac:dyDescent="0.3">
      <c r="A267">
        <v>1200</v>
      </c>
      <c r="B267" t="s">
        <v>136</v>
      </c>
      <c r="C267" t="s">
        <v>98</v>
      </c>
      <c r="D267" t="s">
        <v>37</v>
      </c>
      <c r="E267" s="1">
        <v>27313</v>
      </c>
      <c r="F267" s="1">
        <v>43154</v>
      </c>
      <c r="G267">
        <v>50</v>
      </c>
      <c r="H267" t="s">
        <v>123</v>
      </c>
      <c r="I267" t="s">
        <v>39</v>
      </c>
      <c r="J267" t="s">
        <v>52</v>
      </c>
      <c r="K267" t="s">
        <v>22</v>
      </c>
      <c r="L267">
        <v>9150</v>
      </c>
      <c r="M267" t="s">
        <v>32</v>
      </c>
      <c r="N267" s="1"/>
      <c r="O267" t="s">
        <v>33</v>
      </c>
      <c r="P267" t="s">
        <v>421</v>
      </c>
    </row>
    <row r="268" spans="1:16" x14ac:dyDescent="0.3">
      <c r="A268">
        <v>1042</v>
      </c>
      <c r="B268" t="s">
        <v>125</v>
      </c>
      <c r="C268" t="s">
        <v>113</v>
      </c>
      <c r="D268" t="s">
        <v>37</v>
      </c>
      <c r="E268" s="1">
        <v>35240</v>
      </c>
      <c r="F268" s="1">
        <v>45565</v>
      </c>
      <c r="G268">
        <v>20</v>
      </c>
      <c r="H268" t="s">
        <v>68</v>
      </c>
      <c r="I268" t="s">
        <v>39</v>
      </c>
      <c r="J268" t="s">
        <v>21</v>
      </c>
      <c r="K268" t="s">
        <v>40</v>
      </c>
      <c r="L268">
        <v>6800</v>
      </c>
      <c r="M268" t="s">
        <v>32</v>
      </c>
      <c r="N268" s="1"/>
      <c r="O268" t="s">
        <v>33</v>
      </c>
      <c r="P268" t="s">
        <v>422</v>
      </c>
    </row>
    <row r="269" spans="1:16" x14ac:dyDescent="0.3">
      <c r="A269">
        <v>1283</v>
      </c>
      <c r="B269" t="s">
        <v>157</v>
      </c>
      <c r="C269" t="s">
        <v>128</v>
      </c>
      <c r="D269" t="s">
        <v>18</v>
      </c>
      <c r="E269" s="1">
        <v>28080</v>
      </c>
      <c r="F269" s="1">
        <v>42657</v>
      </c>
      <c r="G269">
        <v>30</v>
      </c>
      <c r="H269" t="s">
        <v>209</v>
      </c>
      <c r="I269" t="s">
        <v>39</v>
      </c>
      <c r="J269" t="s">
        <v>46</v>
      </c>
      <c r="K269" t="s">
        <v>22</v>
      </c>
      <c r="L269">
        <v>9050</v>
      </c>
      <c r="M269" t="s">
        <v>32</v>
      </c>
      <c r="N269" s="1"/>
      <c r="O269" t="s">
        <v>33</v>
      </c>
      <c r="P269" t="s">
        <v>423</v>
      </c>
    </row>
    <row r="270" spans="1:16" x14ac:dyDescent="0.3">
      <c r="A270">
        <v>1327</v>
      </c>
      <c r="B270" t="s">
        <v>424</v>
      </c>
      <c r="C270" t="s">
        <v>110</v>
      </c>
      <c r="D270" t="s">
        <v>37</v>
      </c>
      <c r="E270" s="1">
        <v>32381</v>
      </c>
      <c r="F270" s="1">
        <v>44500</v>
      </c>
      <c r="G270">
        <v>60</v>
      </c>
      <c r="H270" t="s">
        <v>29</v>
      </c>
      <c r="I270" t="s">
        <v>219</v>
      </c>
      <c r="J270" t="s">
        <v>52</v>
      </c>
      <c r="K270" t="s">
        <v>22</v>
      </c>
      <c r="L270">
        <v>4250</v>
      </c>
      <c r="M270" t="s">
        <v>23</v>
      </c>
      <c r="N270" s="1">
        <v>45765</v>
      </c>
      <c r="O270" t="s">
        <v>33</v>
      </c>
      <c r="P270" t="s">
        <v>425</v>
      </c>
    </row>
    <row r="271" spans="1:16" x14ac:dyDescent="0.3">
      <c r="A271">
        <v>1232</v>
      </c>
      <c r="B271" t="s">
        <v>136</v>
      </c>
      <c r="C271" t="s">
        <v>155</v>
      </c>
      <c r="D271" t="s">
        <v>37</v>
      </c>
      <c r="E271" s="1">
        <v>32953</v>
      </c>
      <c r="F271" s="1">
        <v>45758</v>
      </c>
      <c r="G271">
        <v>70</v>
      </c>
      <c r="H271" t="s">
        <v>116</v>
      </c>
      <c r="I271" t="s">
        <v>30</v>
      </c>
      <c r="J271" t="s">
        <v>296</v>
      </c>
      <c r="K271" t="s">
        <v>22</v>
      </c>
      <c r="L271">
        <v>4900</v>
      </c>
      <c r="M271" t="s">
        <v>32</v>
      </c>
      <c r="N271" s="1"/>
      <c r="O271" t="s">
        <v>33</v>
      </c>
      <c r="P271" t="s">
        <v>426</v>
      </c>
    </row>
    <row r="272" spans="1:16" x14ac:dyDescent="0.3">
      <c r="A272">
        <v>1246</v>
      </c>
      <c r="B272" t="s">
        <v>157</v>
      </c>
      <c r="C272" t="s">
        <v>17</v>
      </c>
      <c r="D272" t="s">
        <v>18</v>
      </c>
      <c r="E272" s="1">
        <v>34827</v>
      </c>
      <c r="F272" s="1">
        <v>43707</v>
      </c>
      <c r="G272">
        <v>20</v>
      </c>
      <c r="H272" t="s">
        <v>104</v>
      </c>
      <c r="I272" t="s">
        <v>39</v>
      </c>
      <c r="J272" t="s">
        <v>52</v>
      </c>
      <c r="K272" t="s">
        <v>22</v>
      </c>
      <c r="L272">
        <v>6500</v>
      </c>
      <c r="M272" t="s">
        <v>32</v>
      </c>
      <c r="N272" s="1"/>
      <c r="O272" t="s">
        <v>33</v>
      </c>
      <c r="P272" t="s">
        <v>427</v>
      </c>
    </row>
    <row r="273" spans="1:16" x14ac:dyDescent="0.3">
      <c r="A273">
        <v>1371</v>
      </c>
      <c r="B273" t="s">
        <v>85</v>
      </c>
      <c r="C273" t="s">
        <v>103</v>
      </c>
      <c r="D273" t="s">
        <v>37</v>
      </c>
      <c r="E273" s="1">
        <v>31910</v>
      </c>
      <c r="F273" s="1">
        <v>45472</v>
      </c>
      <c r="G273">
        <v>20</v>
      </c>
      <c r="H273" t="s">
        <v>68</v>
      </c>
      <c r="I273" t="s">
        <v>45</v>
      </c>
      <c r="J273" t="s">
        <v>83</v>
      </c>
      <c r="K273" t="s">
        <v>22</v>
      </c>
      <c r="L273">
        <v>3950</v>
      </c>
      <c r="M273" t="s">
        <v>32</v>
      </c>
      <c r="N273" s="1"/>
      <c r="O273" t="s">
        <v>33</v>
      </c>
      <c r="P273" t="s">
        <v>428</v>
      </c>
    </row>
    <row r="274" spans="1:16" x14ac:dyDescent="0.3">
      <c r="A274">
        <v>1326</v>
      </c>
      <c r="B274" t="s">
        <v>147</v>
      </c>
      <c r="C274" t="s">
        <v>103</v>
      </c>
      <c r="D274" t="s">
        <v>37</v>
      </c>
      <c r="E274" s="1">
        <v>30860</v>
      </c>
      <c r="F274" s="1">
        <v>44310</v>
      </c>
      <c r="G274">
        <v>50</v>
      </c>
      <c r="H274" t="s">
        <v>71</v>
      </c>
      <c r="I274" t="s">
        <v>45</v>
      </c>
      <c r="J274" t="s">
        <v>52</v>
      </c>
      <c r="K274" t="s">
        <v>40</v>
      </c>
      <c r="L274">
        <v>4100</v>
      </c>
      <c r="M274" t="s">
        <v>32</v>
      </c>
      <c r="N274" s="1"/>
      <c r="O274" t="s">
        <v>33</v>
      </c>
      <c r="P274" t="s">
        <v>429</v>
      </c>
    </row>
    <row r="275" spans="1:16" x14ac:dyDescent="0.3">
      <c r="A275">
        <v>1443</v>
      </c>
      <c r="B275" t="s">
        <v>365</v>
      </c>
      <c r="C275" t="s">
        <v>74</v>
      </c>
      <c r="D275" t="s">
        <v>18</v>
      </c>
      <c r="E275" s="1">
        <v>35708</v>
      </c>
      <c r="F275" s="1">
        <v>44989</v>
      </c>
      <c r="G275">
        <v>10</v>
      </c>
      <c r="H275" t="s">
        <v>87</v>
      </c>
      <c r="I275" t="s">
        <v>45</v>
      </c>
      <c r="J275" t="s">
        <v>21</v>
      </c>
      <c r="K275" t="s">
        <v>22</v>
      </c>
      <c r="L275">
        <v>6250</v>
      </c>
      <c r="M275" t="s">
        <v>32</v>
      </c>
      <c r="N275" s="1"/>
      <c r="O275" t="s">
        <v>33</v>
      </c>
      <c r="P275" t="s">
        <v>430</v>
      </c>
    </row>
    <row r="276" spans="1:16" x14ac:dyDescent="0.3">
      <c r="A276">
        <v>1264</v>
      </c>
      <c r="B276" t="s">
        <v>64</v>
      </c>
      <c r="C276" t="s">
        <v>224</v>
      </c>
      <c r="D276" t="s">
        <v>37</v>
      </c>
      <c r="E276" s="1">
        <v>32990</v>
      </c>
      <c r="F276" s="1">
        <v>45808</v>
      </c>
      <c r="G276">
        <v>40</v>
      </c>
      <c r="H276" t="s">
        <v>120</v>
      </c>
      <c r="I276" t="s">
        <v>30</v>
      </c>
      <c r="J276" t="s">
        <v>21</v>
      </c>
      <c r="K276" t="s">
        <v>22</v>
      </c>
      <c r="L276">
        <v>6000</v>
      </c>
      <c r="M276" t="s">
        <v>23</v>
      </c>
      <c r="N276" s="1">
        <v>45958</v>
      </c>
      <c r="O276" t="s">
        <v>62</v>
      </c>
      <c r="P276" t="s">
        <v>431</v>
      </c>
    </row>
    <row r="277" spans="1:16" x14ac:dyDescent="0.3">
      <c r="A277">
        <v>1030</v>
      </c>
      <c r="B277" t="s">
        <v>180</v>
      </c>
      <c r="C277" t="s">
        <v>110</v>
      </c>
      <c r="D277" t="s">
        <v>37</v>
      </c>
      <c r="E277" s="1">
        <v>30246</v>
      </c>
      <c r="F277" s="1">
        <v>44983</v>
      </c>
      <c r="G277">
        <v>60</v>
      </c>
      <c r="H277" t="s">
        <v>29</v>
      </c>
      <c r="I277" t="s">
        <v>45</v>
      </c>
      <c r="J277" t="s">
        <v>52</v>
      </c>
      <c r="K277" t="s">
        <v>22</v>
      </c>
      <c r="L277">
        <v>3000</v>
      </c>
      <c r="M277" t="s">
        <v>32</v>
      </c>
      <c r="N277" s="1"/>
      <c r="O277" t="s">
        <v>33</v>
      </c>
      <c r="P277" t="s">
        <v>432</v>
      </c>
    </row>
    <row r="278" spans="1:16" x14ac:dyDescent="0.3">
      <c r="A278">
        <v>1239</v>
      </c>
      <c r="B278" t="s">
        <v>136</v>
      </c>
      <c r="C278" t="s">
        <v>126</v>
      </c>
      <c r="D278" t="s">
        <v>37</v>
      </c>
      <c r="E278" s="1">
        <v>32254</v>
      </c>
      <c r="F278" s="1">
        <v>45254</v>
      </c>
      <c r="G278">
        <v>20</v>
      </c>
      <c r="H278" t="s">
        <v>68</v>
      </c>
      <c r="I278" t="s">
        <v>45</v>
      </c>
      <c r="J278" t="s">
        <v>31</v>
      </c>
      <c r="K278" t="s">
        <v>22</v>
      </c>
      <c r="L278">
        <v>4200</v>
      </c>
      <c r="M278" t="s">
        <v>23</v>
      </c>
      <c r="N278" s="1">
        <v>45627</v>
      </c>
      <c r="O278" t="s">
        <v>186</v>
      </c>
      <c r="P278" t="s">
        <v>433</v>
      </c>
    </row>
    <row r="279" spans="1:16" x14ac:dyDescent="0.3">
      <c r="A279">
        <v>1251</v>
      </c>
      <c r="B279" t="s">
        <v>35</v>
      </c>
      <c r="C279" t="s">
        <v>140</v>
      </c>
      <c r="D279" t="s">
        <v>37</v>
      </c>
      <c r="E279" s="1">
        <v>32115</v>
      </c>
      <c r="F279" s="1">
        <v>45612</v>
      </c>
      <c r="G279">
        <v>70</v>
      </c>
      <c r="H279" t="s">
        <v>38</v>
      </c>
      <c r="I279" t="s">
        <v>39</v>
      </c>
      <c r="J279" t="s">
        <v>31</v>
      </c>
      <c r="K279" t="s">
        <v>40</v>
      </c>
      <c r="L279">
        <v>7850</v>
      </c>
      <c r="M279" t="s">
        <v>32</v>
      </c>
      <c r="N279" s="1"/>
      <c r="O279" t="s">
        <v>33</v>
      </c>
      <c r="P279" t="s">
        <v>434</v>
      </c>
    </row>
    <row r="280" spans="1:16" x14ac:dyDescent="0.3">
      <c r="A280">
        <v>1163</v>
      </c>
      <c r="B280" t="s">
        <v>73</v>
      </c>
      <c r="C280" t="s">
        <v>131</v>
      </c>
      <c r="D280" t="s">
        <v>18</v>
      </c>
      <c r="E280" s="1">
        <v>34436</v>
      </c>
      <c r="F280" s="1">
        <v>43836</v>
      </c>
      <c r="G280">
        <v>30</v>
      </c>
      <c r="H280" t="s">
        <v>209</v>
      </c>
      <c r="I280" t="s">
        <v>30</v>
      </c>
      <c r="J280" t="s">
        <v>46</v>
      </c>
      <c r="K280" t="s">
        <v>22</v>
      </c>
      <c r="L280">
        <v>6800</v>
      </c>
      <c r="M280" t="s">
        <v>32</v>
      </c>
      <c r="N280" s="1"/>
      <c r="O280" t="s">
        <v>33</v>
      </c>
      <c r="P280" t="s">
        <v>435</v>
      </c>
    </row>
    <row r="281" spans="1:16" x14ac:dyDescent="0.3">
      <c r="A281">
        <v>1150</v>
      </c>
      <c r="B281" t="s">
        <v>112</v>
      </c>
      <c r="C281" t="s">
        <v>330</v>
      </c>
      <c r="D281" t="s">
        <v>37</v>
      </c>
      <c r="E281" s="1">
        <v>32500</v>
      </c>
      <c r="F281" s="1">
        <v>45046</v>
      </c>
      <c r="G281">
        <v>40</v>
      </c>
      <c r="H281" t="s">
        <v>120</v>
      </c>
      <c r="I281" t="s">
        <v>39</v>
      </c>
      <c r="J281" t="s">
        <v>21</v>
      </c>
      <c r="K281" t="s">
        <v>22</v>
      </c>
      <c r="L281">
        <v>8650</v>
      </c>
      <c r="M281" t="s">
        <v>32</v>
      </c>
      <c r="N281" s="1"/>
      <c r="O281" t="s">
        <v>33</v>
      </c>
      <c r="P281" t="s">
        <v>436</v>
      </c>
    </row>
    <row r="282" spans="1:16" x14ac:dyDescent="0.3">
      <c r="A282">
        <v>1372</v>
      </c>
      <c r="B282" t="s">
        <v>48</v>
      </c>
      <c r="C282" t="s">
        <v>200</v>
      </c>
      <c r="D282" t="s">
        <v>18</v>
      </c>
      <c r="E282" s="1">
        <v>29601</v>
      </c>
      <c r="F282" s="1">
        <v>44288</v>
      </c>
      <c r="G282">
        <v>80</v>
      </c>
      <c r="H282" t="s">
        <v>159</v>
      </c>
      <c r="I282" t="s">
        <v>30</v>
      </c>
      <c r="J282" t="s">
        <v>31</v>
      </c>
      <c r="K282" t="s">
        <v>22</v>
      </c>
      <c r="L282">
        <v>8100</v>
      </c>
      <c r="M282" t="s">
        <v>23</v>
      </c>
      <c r="N282" s="1">
        <v>45041</v>
      </c>
      <c r="O282" t="s">
        <v>152</v>
      </c>
      <c r="P282" t="s">
        <v>437</v>
      </c>
    </row>
    <row r="283" spans="1:16" x14ac:dyDescent="0.3">
      <c r="A283">
        <v>1368</v>
      </c>
      <c r="B283" t="s">
        <v>70</v>
      </c>
      <c r="C283" t="s">
        <v>216</v>
      </c>
      <c r="D283" t="s">
        <v>18</v>
      </c>
      <c r="E283" s="1">
        <v>32319</v>
      </c>
      <c r="F283" s="1">
        <v>42442</v>
      </c>
      <c r="G283">
        <v>40</v>
      </c>
      <c r="H283" t="s">
        <v>120</v>
      </c>
      <c r="I283" t="s">
        <v>45</v>
      </c>
      <c r="J283" t="s">
        <v>21</v>
      </c>
      <c r="K283" t="s">
        <v>22</v>
      </c>
      <c r="L283">
        <v>4000</v>
      </c>
      <c r="M283" t="s">
        <v>32</v>
      </c>
      <c r="N283" s="1"/>
      <c r="O283" t="s">
        <v>33</v>
      </c>
      <c r="P283" t="s">
        <v>438</v>
      </c>
    </row>
    <row r="284" spans="1:16" x14ac:dyDescent="0.3">
      <c r="A284">
        <v>1095</v>
      </c>
      <c r="B284" t="s">
        <v>122</v>
      </c>
      <c r="C284" t="s">
        <v>59</v>
      </c>
      <c r="D284" t="s">
        <v>18</v>
      </c>
      <c r="E284" s="1">
        <v>34901</v>
      </c>
      <c r="F284" s="1">
        <v>43868</v>
      </c>
      <c r="G284">
        <v>70</v>
      </c>
      <c r="H284" t="s">
        <v>116</v>
      </c>
      <c r="I284" t="s">
        <v>45</v>
      </c>
      <c r="J284" t="s">
        <v>21</v>
      </c>
      <c r="K284" t="s">
        <v>22</v>
      </c>
      <c r="L284">
        <v>3550</v>
      </c>
      <c r="M284" t="s">
        <v>23</v>
      </c>
      <c r="N284" s="1">
        <v>45248</v>
      </c>
      <c r="O284" t="s">
        <v>62</v>
      </c>
      <c r="P284" t="s">
        <v>439</v>
      </c>
    </row>
    <row r="285" spans="1:16" x14ac:dyDescent="0.3">
      <c r="A285">
        <v>1032</v>
      </c>
      <c r="B285" t="s">
        <v>122</v>
      </c>
      <c r="C285" t="s">
        <v>144</v>
      </c>
      <c r="D285" t="s">
        <v>37</v>
      </c>
      <c r="E285" s="1">
        <v>31780</v>
      </c>
      <c r="F285" s="1">
        <v>44452</v>
      </c>
      <c r="G285">
        <v>10</v>
      </c>
      <c r="H285" t="s">
        <v>108</v>
      </c>
      <c r="I285" t="s">
        <v>30</v>
      </c>
      <c r="J285" t="s">
        <v>61</v>
      </c>
      <c r="K285" t="s">
        <v>22</v>
      </c>
      <c r="L285">
        <v>7550</v>
      </c>
      <c r="M285" t="s">
        <v>32</v>
      </c>
      <c r="N285" s="1"/>
      <c r="O285" t="s">
        <v>33</v>
      </c>
      <c r="P285" t="s">
        <v>270</v>
      </c>
    </row>
    <row r="286" spans="1:16" x14ac:dyDescent="0.3">
      <c r="A286">
        <v>1222</v>
      </c>
      <c r="B286" t="s">
        <v>440</v>
      </c>
      <c r="C286" t="s">
        <v>253</v>
      </c>
      <c r="D286" t="s">
        <v>18</v>
      </c>
      <c r="E286" s="1">
        <v>34835</v>
      </c>
      <c r="F286" s="1">
        <v>43427</v>
      </c>
      <c r="G286">
        <v>10</v>
      </c>
      <c r="H286" t="s">
        <v>87</v>
      </c>
      <c r="I286" t="s">
        <v>30</v>
      </c>
      <c r="J286" t="s">
        <v>21</v>
      </c>
      <c r="K286" t="s">
        <v>22</v>
      </c>
      <c r="L286">
        <v>9150</v>
      </c>
      <c r="M286" t="s">
        <v>23</v>
      </c>
      <c r="N286" s="1">
        <v>44198</v>
      </c>
      <c r="O286" t="s">
        <v>186</v>
      </c>
      <c r="P286" t="s">
        <v>441</v>
      </c>
    </row>
    <row r="287" spans="1:16" x14ac:dyDescent="0.3">
      <c r="A287">
        <v>1086</v>
      </c>
      <c r="B287" t="s">
        <v>70</v>
      </c>
      <c r="C287" t="s">
        <v>171</v>
      </c>
      <c r="D287" t="s">
        <v>18</v>
      </c>
      <c r="E287" s="1">
        <v>32042</v>
      </c>
      <c r="F287" s="1">
        <v>43086</v>
      </c>
      <c r="G287">
        <v>70</v>
      </c>
      <c r="H287" t="s">
        <v>38</v>
      </c>
      <c r="I287" t="s">
        <v>30</v>
      </c>
      <c r="J287" t="s">
        <v>31</v>
      </c>
      <c r="K287" t="s">
        <v>22</v>
      </c>
      <c r="L287">
        <v>3950</v>
      </c>
      <c r="M287" t="s">
        <v>32</v>
      </c>
      <c r="N287" s="1"/>
      <c r="O287" t="s">
        <v>33</v>
      </c>
      <c r="P287" t="s">
        <v>442</v>
      </c>
    </row>
    <row r="288" spans="1:16" x14ac:dyDescent="0.3">
      <c r="A288">
        <v>1188</v>
      </c>
      <c r="B288" t="s">
        <v>92</v>
      </c>
      <c r="C288" t="s">
        <v>184</v>
      </c>
      <c r="D288" t="s">
        <v>37</v>
      </c>
      <c r="E288" s="1">
        <v>37633</v>
      </c>
      <c r="F288" s="1">
        <v>45743</v>
      </c>
      <c r="G288">
        <v>70</v>
      </c>
      <c r="H288" t="s">
        <v>38</v>
      </c>
      <c r="I288" t="s">
        <v>45</v>
      </c>
      <c r="J288" t="s">
        <v>31</v>
      </c>
      <c r="K288" t="s">
        <v>22</v>
      </c>
      <c r="L288">
        <v>3950</v>
      </c>
      <c r="M288" t="s">
        <v>32</v>
      </c>
      <c r="N288" s="1"/>
      <c r="O288" t="s">
        <v>33</v>
      </c>
      <c r="P288" t="s">
        <v>443</v>
      </c>
    </row>
    <row r="289" spans="1:16" x14ac:dyDescent="0.3">
      <c r="A289">
        <v>1090</v>
      </c>
      <c r="B289" t="s">
        <v>92</v>
      </c>
      <c r="C289" t="s">
        <v>247</v>
      </c>
      <c r="D289" t="s">
        <v>18</v>
      </c>
      <c r="E289" s="1">
        <v>32851</v>
      </c>
      <c r="F289" s="1">
        <v>42779</v>
      </c>
      <c r="G289">
        <v>60</v>
      </c>
      <c r="H289" t="s">
        <v>29</v>
      </c>
      <c r="I289" t="s">
        <v>30</v>
      </c>
      <c r="J289" t="s">
        <v>52</v>
      </c>
      <c r="K289" t="s">
        <v>22</v>
      </c>
      <c r="L289">
        <v>4150</v>
      </c>
      <c r="M289" t="s">
        <v>23</v>
      </c>
      <c r="N289" s="1">
        <v>43476</v>
      </c>
      <c r="O289" t="s">
        <v>105</v>
      </c>
      <c r="P289" t="s">
        <v>444</v>
      </c>
    </row>
    <row r="290" spans="1:16" x14ac:dyDescent="0.3">
      <c r="A290">
        <v>1315</v>
      </c>
      <c r="B290" t="s">
        <v>100</v>
      </c>
      <c r="C290" t="s">
        <v>171</v>
      </c>
      <c r="D290" t="s">
        <v>221</v>
      </c>
      <c r="E290" s="1">
        <v>29172</v>
      </c>
      <c r="F290" s="1">
        <v>44025</v>
      </c>
      <c r="G290">
        <v>60</v>
      </c>
      <c r="H290" t="s">
        <v>78</v>
      </c>
      <c r="I290" t="s">
        <v>39</v>
      </c>
      <c r="J290" t="s">
        <v>52</v>
      </c>
      <c r="K290" t="s">
        <v>22</v>
      </c>
      <c r="L290">
        <v>5800</v>
      </c>
      <c r="M290" t="s">
        <v>32</v>
      </c>
      <c r="N290" s="1"/>
      <c r="O290" t="s">
        <v>33</v>
      </c>
      <c r="P290" t="s">
        <v>445</v>
      </c>
    </row>
    <row r="291" spans="1:16" x14ac:dyDescent="0.3">
      <c r="A291">
        <v>1035</v>
      </c>
      <c r="B291" t="s">
        <v>157</v>
      </c>
      <c r="C291" t="s">
        <v>59</v>
      </c>
      <c r="D291" t="s">
        <v>18</v>
      </c>
      <c r="E291" s="1">
        <v>27660</v>
      </c>
      <c r="F291" s="1">
        <v>45654</v>
      </c>
      <c r="G291">
        <v>70</v>
      </c>
      <c r="H291" t="s">
        <v>38</v>
      </c>
      <c r="I291" t="s">
        <v>39</v>
      </c>
      <c r="J291" t="s">
        <v>31</v>
      </c>
      <c r="K291" t="s">
        <v>22</v>
      </c>
      <c r="L291">
        <v>7250</v>
      </c>
      <c r="M291" t="s">
        <v>32</v>
      </c>
      <c r="N291" s="1"/>
      <c r="O291" t="s">
        <v>33</v>
      </c>
      <c r="P291" t="s">
        <v>446</v>
      </c>
    </row>
    <row r="292" spans="1:16" x14ac:dyDescent="0.3">
      <c r="A292">
        <v>1218</v>
      </c>
      <c r="B292" t="s">
        <v>122</v>
      </c>
      <c r="C292" t="s">
        <v>110</v>
      </c>
      <c r="D292" t="s">
        <v>37</v>
      </c>
      <c r="E292" s="1">
        <v>34017</v>
      </c>
      <c r="F292" s="1">
        <v>43336</v>
      </c>
      <c r="G292">
        <v>70</v>
      </c>
      <c r="H292" t="s">
        <v>38</v>
      </c>
      <c r="I292" t="s">
        <v>39</v>
      </c>
      <c r="J292" t="s">
        <v>21</v>
      </c>
      <c r="K292" t="s">
        <v>22</v>
      </c>
      <c r="L292">
        <v>7400</v>
      </c>
      <c r="M292" t="s">
        <v>32</v>
      </c>
      <c r="N292" s="1"/>
      <c r="O292" t="s">
        <v>33</v>
      </c>
      <c r="P292" t="s">
        <v>447</v>
      </c>
    </row>
    <row r="293" spans="1:16" x14ac:dyDescent="0.3">
      <c r="A293">
        <v>1073</v>
      </c>
      <c r="B293" t="s">
        <v>58</v>
      </c>
      <c r="C293" t="s">
        <v>43</v>
      </c>
      <c r="D293" t="s">
        <v>37</v>
      </c>
      <c r="E293" s="1">
        <v>32247</v>
      </c>
      <c r="F293" s="1">
        <v>45037</v>
      </c>
      <c r="H293" t="s">
        <v>49</v>
      </c>
      <c r="I293" t="s">
        <v>39</v>
      </c>
      <c r="J293" t="s">
        <v>21</v>
      </c>
      <c r="K293" t="s">
        <v>40</v>
      </c>
      <c r="L293">
        <v>11300</v>
      </c>
      <c r="M293" t="s">
        <v>32</v>
      </c>
      <c r="N293" s="1"/>
      <c r="O293" t="s">
        <v>33</v>
      </c>
      <c r="P293" t="s">
        <v>448</v>
      </c>
    </row>
    <row r="294" spans="1:16" x14ac:dyDescent="0.3">
      <c r="A294">
        <v>1221</v>
      </c>
      <c r="B294" t="s">
        <v>70</v>
      </c>
      <c r="C294" t="s">
        <v>128</v>
      </c>
      <c r="D294" t="s">
        <v>18</v>
      </c>
      <c r="E294" s="1">
        <v>29321</v>
      </c>
      <c r="F294" s="1">
        <v>45636</v>
      </c>
      <c r="G294">
        <v>50</v>
      </c>
      <c r="H294" t="s">
        <v>123</v>
      </c>
      <c r="I294" t="s">
        <v>30</v>
      </c>
      <c r="J294" t="s">
        <v>52</v>
      </c>
      <c r="K294" t="s">
        <v>22</v>
      </c>
      <c r="L294">
        <v>6150</v>
      </c>
      <c r="M294" t="s">
        <v>32</v>
      </c>
      <c r="N294" s="1"/>
      <c r="O294" t="s">
        <v>33</v>
      </c>
      <c r="P294" t="s">
        <v>449</v>
      </c>
    </row>
    <row r="295" spans="1:16" x14ac:dyDescent="0.3">
      <c r="A295">
        <v>1299</v>
      </c>
      <c r="B295" t="s">
        <v>134</v>
      </c>
      <c r="C295" t="s">
        <v>200</v>
      </c>
      <c r="D295" t="s">
        <v>18</v>
      </c>
      <c r="E295" s="1">
        <v>31095</v>
      </c>
      <c r="F295" s="1">
        <v>44094</v>
      </c>
      <c r="G295">
        <v>30</v>
      </c>
      <c r="H295" t="s">
        <v>209</v>
      </c>
      <c r="I295" t="s">
        <v>45</v>
      </c>
      <c r="J295" t="s">
        <v>83</v>
      </c>
      <c r="K295" t="s">
        <v>22</v>
      </c>
      <c r="L295">
        <v>3500</v>
      </c>
      <c r="M295" t="s">
        <v>32</v>
      </c>
      <c r="N295" s="1"/>
      <c r="O295" t="s">
        <v>33</v>
      </c>
      <c r="P295" t="s">
        <v>450</v>
      </c>
    </row>
    <row r="296" spans="1:16" x14ac:dyDescent="0.3">
      <c r="A296">
        <v>1450</v>
      </c>
      <c r="B296" t="s">
        <v>54</v>
      </c>
      <c r="C296" t="s">
        <v>200</v>
      </c>
      <c r="D296" t="s">
        <v>18</v>
      </c>
      <c r="E296" s="1">
        <v>28782</v>
      </c>
      <c r="F296" s="1">
        <v>44881</v>
      </c>
      <c r="G296">
        <v>20</v>
      </c>
      <c r="H296" t="s">
        <v>60</v>
      </c>
      <c r="I296" t="s">
        <v>20</v>
      </c>
      <c r="J296" t="s">
        <v>21</v>
      </c>
      <c r="K296" t="s">
        <v>22</v>
      </c>
      <c r="L296">
        <v>11100</v>
      </c>
      <c r="M296" t="s">
        <v>32</v>
      </c>
      <c r="N296" s="1"/>
      <c r="O296" t="s">
        <v>33</v>
      </c>
      <c r="P296" t="s">
        <v>451</v>
      </c>
    </row>
    <row r="297" spans="1:16" x14ac:dyDescent="0.3">
      <c r="A297">
        <v>1459</v>
      </c>
      <c r="B297" t="s">
        <v>134</v>
      </c>
      <c r="C297" t="s">
        <v>144</v>
      </c>
      <c r="D297" t="s">
        <v>37</v>
      </c>
      <c r="E297" s="1">
        <v>32104</v>
      </c>
      <c r="F297" s="1">
        <v>43392</v>
      </c>
      <c r="G297">
        <v>20</v>
      </c>
      <c r="H297" t="s">
        <v>104</v>
      </c>
      <c r="I297" t="s">
        <v>45</v>
      </c>
      <c r="J297" t="s">
        <v>21</v>
      </c>
      <c r="K297" t="s">
        <v>22</v>
      </c>
      <c r="L297">
        <v>3800</v>
      </c>
      <c r="M297" t="s">
        <v>23</v>
      </c>
      <c r="N297" s="1">
        <v>45512</v>
      </c>
      <c r="O297" t="s">
        <v>62</v>
      </c>
      <c r="P297" t="s">
        <v>452</v>
      </c>
    </row>
    <row r="298" spans="1:16" x14ac:dyDescent="0.3">
      <c r="A298">
        <v>1013</v>
      </c>
      <c r="B298" t="s">
        <v>134</v>
      </c>
      <c r="C298" t="s">
        <v>194</v>
      </c>
      <c r="D298" t="s">
        <v>37</v>
      </c>
      <c r="E298" s="1">
        <v>32390</v>
      </c>
      <c r="F298" s="1">
        <v>44331</v>
      </c>
      <c r="G298">
        <v>10</v>
      </c>
      <c r="H298" t="s">
        <v>49</v>
      </c>
      <c r="I298" t="s">
        <v>45</v>
      </c>
      <c r="J298" t="s">
        <v>52</v>
      </c>
      <c r="K298" t="s">
        <v>22</v>
      </c>
      <c r="L298">
        <v>6500</v>
      </c>
      <c r="M298" t="s">
        <v>23</v>
      </c>
      <c r="N298" s="1">
        <v>44871</v>
      </c>
      <c r="O298" t="s">
        <v>33</v>
      </c>
      <c r="P298" t="s">
        <v>453</v>
      </c>
    </row>
    <row r="299" spans="1:16" x14ac:dyDescent="0.3">
      <c r="A299">
        <v>1199</v>
      </c>
      <c r="B299" t="s">
        <v>48</v>
      </c>
      <c r="C299" t="s">
        <v>155</v>
      </c>
      <c r="D299" t="s">
        <v>37</v>
      </c>
      <c r="E299" s="1">
        <v>29334</v>
      </c>
      <c r="F299" s="1">
        <v>43039</v>
      </c>
      <c r="G299">
        <v>60</v>
      </c>
      <c r="H299" t="s">
        <v>78</v>
      </c>
      <c r="I299" t="s">
        <v>39</v>
      </c>
      <c r="J299" t="s">
        <v>264</v>
      </c>
      <c r="K299" t="s">
        <v>22</v>
      </c>
      <c r="L299">
        <v>5550</v>
      </c>
      <c r="M299" t="s">
        <v>32</v>
      </c>
      <c r="N299" s="1"/>
      <c r="O299" t="s">
        <v>33</v>
      </c>
      <c r="P299" t="s">
        <v>454</v>
      </c>
    </row>
    <row r="300" spans="1:16" x14ac:dyDescent="0.3">
      <c r="A300">
        <v>1214</v>
      </c>
      <c r="B300" t="s">
        <v>180</v>
      </c>
      <c r="C300" t="s">
        <v>90</v>
      </c>
      <c r="D300" t="s">
        <v>18</v>
      </c>
      <c r="E300" s="1">
        <v>32726</v>
      </c>
      <c r="F300" s="1">
        <v>43225</v>
      </c>
      <c r="G300">
        <v>50</v>
      </c>
      <c r="H300" t="s">
        <v>71</v>
      </c>
      <c r="I300" t="s">
        <v>30</v>
      </c>
      <c r="J300" t="s">
        <v>52</v>
      </c>
      <c r="K300" t="s">
        <v>22</v>
      </c>
      <c r="L300">
        <v>7500</v>
      </c>
      <c r="M300" t="s">
        <v>32</v>
      </c>
      <c r="N300" s="1"/>
      <c r="O300" t="s">
        <v>33</v>
      </c>
      <c r="P300" t="s">
        <v>455</v>
      </c>
    </row>
    <row r="301" spans="1:16" x14ac:dyDescent="0.3">
      <c r="A301">
        <v>1432</v>
      </c>
      <c r="B301" t="s">
        <v>42</v>
      </c>
      <c r="C301" t="s">
        <v>266</v>
      </c>
      <c r="D301" t="s">
        <v>37</v>
      </c>
      <c r="E301" s="1">
        <v>31158</v>
      </c>
      <c r="F301" s="1">
        <v>44437</v>
      </c>
      <c r="G301">
        <v>30</v>
      </c>
      <c r="H301" t="s">
        <v>56</v>
      </c>
      <c r="I301" t="s">
        <v>45</v>
      </c>
      <c r="J301" t="s">
        <v>169</v>
      </c>
      <c r="K301" t="s">
        <v>22</v>
      </c>
      <c r="L301">
        <v>3800</v>
      </c>
      <c r="M301" t="s">
        <v>32</v>
      </c>
      <c r="N301" s="1"/>
      <c r="O301" t="s">
        <v>33</v>
      </c>
      <c r="P301" t="s">
        <v>456</v>
      </c>
    </row>
    <row r="302" spans="1:16" x14ac:dyDescent="0.3">
      <c r="A302">
        <v>1235</v>
      </c>
      <c r="B302" t="s">
        <v>147</v>
      </c>
      <c r="C302" t="s">
        <v>266</v>
      </c>
      <c r="D302" t="s">
        <v>37</v>
      </c>
      <c r="E302" s="1">
        <v>28006</v>
      </c>
      <c r="F302" s="1">
        <v>44296</v>
      </c>
      <c r="G302">
        <v>60</v>
      </c>
      <c r="H302" t="s">
        <v>29</v>
      </c>
      <c r="I302" t="s">
        <v>30</v>
      </c>
      <c r="J302" t="s">
        <v>52</v>
      </c>
      <c r="K302" t="s">
        <v>22</v>
      </c>
      <c r="L302">
        <v>4600</v>
      </c>
      <c r="M302" t="s">
        <v>32</v>
      </c>
      <c r="N302" s="1"/>
      <c r="O302" t="s">
        <v>33</v>
      </c>
      <c r="P302" t="s">
        <v>457</v>
      </c>
    </row>
    <row r="303" spans="1:16" x14ac:dyDescent="0.3">
      <c r="A303">
        <v>1412</v>
      </c>
      <c r="B303" t="s">
        <v>164</v>
      </c>
      <c r="C303" t="s">
        <v>266</v>
      </c>
      <c r="D303" t="s">
        <v>37</v>
      </c>
      <c r="E303" s="1">
        <v>30519</v>
      </c>
      <c r="F303" s="1">
        <v>42656</v>
      </c>
      <c r="G303">
        <v>10</v>
      </c>
      <c r="H303" t="s">
        <v>275</v>
      </c>
      <c r="I303" t="s">
        <v>20</v>
      </c>
      <c r="J303" t="s">
        <v>21</v>
      </c>
      <c r="K303" t="s">
        <v>40</v>
      </c>
      <c r="L303">
        <v>16400</v>
      </c>
      <c r="M303" t="s">
        <v>32</v>
      </c>
      <c r="N303" s="1"/>
      <c r="O303" t="s">
        <v>33</v>
      </c>
      <c r="P303" t="s">
        <v>458</v>
      </c>
    </row>
    <row r="304" spans="1:16" x14ac:dyDescent="0.3">
      <c r="A304">
        <v>1425</v>
      </c>
      <c r="B304" t="s">
        <v>180</v>
      </c>
      <c r="C304" t="s">
        <v>171</v>
      </c>
      <c r="D304" t="s">
        <v>18</v>
      </c>
      <c r="E304" s="1">
        <v>29069</v>
      </c>
      <c r="F304" s="1">
        <v>43294</v>
      </c>
      <c r="G304">
        <v>20</v>
      </c>
      <c r="H304" t="s">
        <v>68</v>
      </c>
      <c r="I304" t="s">
        <v>30</v>
      </c>
      <c r="J304" t="s">
        <v>21</v>
      </c>
      <c r="K304" t="s">
        <v>22</v>
      </c>
      <c r="L304">
        <v>505000</v>
      </c>
      <c r="M304" t="s">
        <v>23</v>
      </c>
      <c r="N304" s="1">
        <v>44727</v>
      </c>
      <c r="O304" t="s">
        <v>186</v>
      </c>
      <c r="P304" t="s">
        <v>459</v>
      </c>
    </row>
    <row r="305" spans="1:16" x14ac:dyDescent="0.3">
      <c r="A305">
        <v>1442</v>
      </c>
      <c r="B305" t="s">
        <v>80</v>
      </c>
      <c r="C305" t="s">
        <v>273</v>
      </c>
      <c r="D305" t="s">
        <v>18</v>
      </c>
      <c r="E305" s="1">
        <v>33965</v>
      </c>
      <c r="F305" s="1">
        <v>45537</v>
      </c>
      <c r="G305">
        <v>50</v>
      </c>
      <c r="H305" t="s">
        <v>123</v>
      </c>
      <c r="I305" t="s">
        <v>39</v>
      </c>
      <c r="J305" t="s">
        <v>284</v>
      </c>
      <c r="K305" t="s">
        <v>22</v>
      </c>
      <c r="L305">
        <v>10100</v>
      </c>
      <c r="M305" t="s">
        <v>32</v>
      </c>
      <c r="N305" s="1"/>
      <c r="O305" t="s">
        <v>33</v>
      </c>
      <c r="P305" t="s">
        <v>460</v>
      </c>
    </row>
    <row r="306" spans="1:16" x14ac:dyDescent="0.3">
      <c r="A306">
        <v>1097</v>
      </c>
      <c r="B306" t="s">
        <v>80</v>
      </c>
      <c r="C306" t="s">
        <v>126</v>
      </c>
      <c r="D306" t="s">
        <v>37</v>
      </c>
      <c r="E306" s="1">
        <v>34208</v>
      </c>
      <c r="F306" s="1">
        <v>43050</v>
      </c>
      <c r="G306">
        <v>70</v>
      </c>
      <c r="H306" t="s">
        <v>38</v>
      </c>
      <c r="I306" t="s">
        <v>45</v>
      </c>
      <c r="J306" t="s">
        <v>31</v>
      </c>
      <c r="K306" t="s">
        <v>22</v>
      </c>
      <c r="L306">
        <v>3100</v>
      </c>
      <c r="M306" t="s">
        <v>301</v>
      </c>
      <c r="N306" s="1">
        <v>43973</v>
      </c>
      <c r="O306" t="s">
        <v>105</v>
      </c>
      <c r="P306" t="s">
        <v>461</v>
      </c>
    </row>
    <row r="307" spans="1:16" x14ac:dyDescent="0.3">
      <c r="A307">
        <v>1311</v>
      </c>
      <c r="B307" t="s">
        <v>136</v>
      </c>
      <c r="C307" t="s">
        <v>282</v>
      </c>
      <c r="D307" t="s">
        <v>37</v>
      </c>
      <c r="E307" s="1">
        <v>33068</v>
      </c>
      <c r="F307" s="1">
        <v>45146</v>
      </c>
      <c r="G307">
        <v>40</v>
      </c>
      <c r="H307" t="s">
        <v>101</v>
      </c>
      <c r="I307" t="s">
        <v>30</v>
      </c>
      <c r="J307" t="s">
        <v>21</v>
      </c>
      <c r="K307" t="s">
        <v>22</v>
      </c>
      <c r="L307">
        <v>6300</v>
      </c>
      <c r="M307" t="s">
        <v>32</v>
      </c>
      <c r="N307" s="1"/>
      <c r="O307" t="s">
        <v>33</v>
      </c>
      <c r="P307" t="s">
        <v>462</v>
      </c>
    </row>
    <row r="308" spans="1:16" x14ac:dyDescent="0.3">
      <c r="A308">
        <v>1298</v>
      </c>
      <c r="B308" t="s">
        <v>54</v>
      </c>
      <c r="C308" t="s">
        <v>43</v>
      </c>
      <c r="D308" t="s">
        <v>37</v>
      </c>
      <c r="E308" s="1">
        <v>29088</v>
      </c>
      <c r="F308" s="1">
        <v>44408</v>
      </c>
      <c r="G308">
        <v>20</v>
      </c>
      <c r="H308" t="s">
        <v>104</v>
      </c>
      <c r="I308" t="s">
        <v>30</v>
      </c>
      <c r="J308" t="s">
        <v>132</v>
      </c>
      <c r="K308" t="s">
        <v>22</v>
      </c>
      <c r="L308">
        <v>5050</v>
      </c>
      <c r="M308" t="s">
        <v>23</v>
      </c>
      <c r="N308" s="1">
        <v>44949</v>
      </c>
      <c r="O308" t="s">
        <v>62</v>
      </c>
      <c r="P308" t="s">
        <v>463</v>
      </c>
    </row>
    <row r="309" spans="1:16" x14ac:dyDescent="0.3">
      <c r="A309">
        <v>1064</v>
      </c>
      <c r="B309" t="s">
        <v>89</v>
      </c>
      <c r="C309" t="s">
        <v>128</v>
      </c>
      <c r="D309" t="s">
        <v>18</v>
      </c>
      <c r="E309" s="1">
        <v>30229</v>
      </c>
      <c r="F309" s="1">
        <v>45855</v>
      </c>
      <c r="G309">
        <v>60</v>
      </c>
      <c r="H309" t="s">
        <v>29</v>
      </c>
      <c r="I309" t="s">
        <v>30</v>
      </c>
      <c r="J309" t="s">
        <v>21</v>
      </c>
      <c r="K309" t="s">
        <v>22</v>
      </c>
      <c r="L309">
        <v>4350</v>
      </c>
      <c r="M309" t="s">
        <v>23</v>
      </c>
      <c r="N309" s="1">
        <v>45969</v>
      </c>
      <c r="O309" t="s">
        <v>117</v>
      </c>
      <c r="P309" t="s">
        <v>464</v>
      </c>
    </row>
    <row r="310" spans="1:16" x14ac:dyDescent="0.3">
      <c r="A310">
        <v>1223</v>
      </c>
      <c r="B310" t="s">
        <v>188</v>
      </c>
      <c r="C310" t="s">
        <v>178</v>
      </c>
      <c r="D310" t="s">
        <v>18</v>
      </c>
      <c r="E310" s="1">
        <v>33685</v>
      </c>
      <c r="F310" s="1">
        <v>43646</v>
      </c>
      <c r="G310">
        <v>60</v>
      </c>
      <c r="H310" t="s">
        <v>29</v>
      </c>
      <c r="I310" t="s">
        <v>39</v>
      </c>
      <c r="J310" t="s">
        <v>52</v>
      </c>
      <c r="K310" t="s">
        <v>22</v>
      </c>
      <c r="L310">
        <v>4850</v>
      </c>
      <c r="M310" t="s">
        <v>23</v>
      </c>
      <c r="N310" s="1">
        <v>44162</v>
      </c>
      <c r="O310" t="s">
        <v>186</v>
      </c>
      <c r="P310" t="s">
        <v>465</v>
      </c>
    </row>
    <row r="311" spans="1:16" x14ac:dyDescent="0.3">
      <c r="A311">
        <v>1096</v>
      </c>
      <c r="B311" t="s">
        <v>80</v>
      </c>
      <c r="C311" t="s">
        <v>27</v>
      </c>
      <c r="D311" t="s">
        <v>37</v>
      </c>
      <c r="E311" s="1">
        <v>34723</v>
      </c>
      <c r="F311" s="1">
        <v>42944</v>
      </c>
      <c r="G311">
        <v>10</v>
      </c>
      <c r="H311" t="s">
        <v>87</v>
      </c>
      <c r="I311" t="s">
        <v>45</v>
      </c>
      <c r="J311" t="s">
        <v>21</v>
      </c>
      <c r="K311" t="s">
        <v>40</v>
      </c>
      <c r="L311">
        <v>6400</v>
      </c>
      <c r="M311" t="s">
        <v>32</v>
      </c>
      <c r="N311" s="1"/>
      <c r="O311" t="s">
        <v>33</v>
      </c>
      <c r="P311" t="s">
        <v>33</v>
      </c>
    </row>
    <row r="312" spans="1:16" x14ac:dyDescent="0.3">
      <c r="A312">
        <v>1014</v>
      </c>
      <c r="B312" t="s">
        <v>48</v>
      </c>
      <c r="C312" t="s">
        <v>194</v>
      </c>
      <c r="D312" t="s">
        <v>37</v>
      </c>
      <c r="E312" s="1">
        <v>36512</v>
      </c>
      <c r="F312" s="1">
        <v>45231</v>
      </c>
      <c r="G312">
        <v>70</v>
      </c>
      <c r="H312" t="s">
        <v>116</v>
      </c>
      <c r="I312" t="s">
        <v>45</v>
      </c>
      <c r="J312" t="s">
        <v>31</v>
      </c>
      <c r="K312" t="s">
        <v>40</v>
      </c>
      <c r="L312">
        <v>3600</v>
      </c>
      <c r="M312" t="s">
        <v>32</v>
      </c>
      <c r="N312" s="1"/>
      <c r="O312" t="s">
        <v>33</v>
      </c>
      <c r="P312" t="s">
        <v>466</v>
      </c>
    </row>
    <row r="313" spans="1:16" x14ac:dyDescent="0.3">
      <c r="A313">
        <v>1018</v>
      </c>
      <c r="B313" t="s">
        <v>204</v>
      </c>
      <c r="C313" t="s">
        <v>206</v>
      </c>
      <c r="D313" t="s">
        <v>18</v>
      </c>
      <c r="E313" s="1">
        <v>35272</v>
      </c>
      <c r="F313" s="1">
        <v>43905</v>
      </c>
      <c r="G313">
        <v>60</v>
      </c>
      <c r="H313" t="s">
        <v>29</v>
      </c>
      <c r="I313" t="s">
        <v>45</v>
      </c>
      <c r="J313" t="s">
        <v>52</v>
      </c>
      <c r="K313" t="s">
        <v>22</v>
      </c>
      <c r="L313">
        <v>2700</v>
      </c>
      <c r="M313" t="s">
        <v>23</v>
      </c>
      <c r="N313" s="1">
        <v>45941</v>
      </c>
      <c r="O313" t="s">
        <v>105</v>
      </c>
      <c r="P313" t="s">
        <v>467</v>
      </c>
    </row>
    <row r="314" spans="1:16" x14ac:dyDescent="0.3">
      <c r="A314">
        <v>1356</v>
      </c>
      <c r="B314" t="s">
        <v>136</v>
      </c>
      <c r="C314" t="s">
        <v>247</v>
      </c>
      <c r="D314" t="s">
        <v>18</v>
      </c>
      <c r="E314" s="1">
        <v>30692</v>
      </c>
      <c r="F314" s="1">
        <v>43246</v>
      </c>
      <c r="G314">
        <v>60</v>
      </c>
      <c r="H314" t="s">
        <v>29</v>
      </c>
      <c r="I314" t="s">
        <v>30</v>
      </c>
      <c r="J314" t="s">
        <v>52</v>
      </c>
      <c r="K314" t="s">
        <v>22</v>
      </c>
      <c r="L314">
        <v>3700</v>
      </c>
      <c r="M314" t="s">
        <v>32</v>
      </c>
      <c r="N314" s="1"/>
      <c r="O314" t="s">
        <v>33</v>
      </c>
      <c r="P314" t="s">
        <v>468</v>
      </c>
    </row>
    <row r="315" spans="1:16" x14ac:dyDescent="0.3">
      <c r="A315">
        <v>1247</v>
      </c>
      <c r="B315" t="s">
        <v>42</v>
      </c>
      <c r="C315" t="s">
        <v>119</v>
      </c>
      <c r="D315" t="s">
        <v>18</v>
      </c>
      <c r="E315" s="1">
        <v>33487</v>
      </c>
      <c r="F315" s="1">
        <v>45077</v>
      </c>
      <c r="G315">
        <v>70</v>
      </c>
      <c r="H315" t="s">
        <v>38</v>
      </c>
      <c r="I315" t="s">
        <v>30</v>
      </c>
      <c r="J315" t="s">
        <v>31</v>
      </c>
      <c r="K315" t="s">
        <v>22</v>
      </c>
      <c r="L315">
        <v>4650</v>
      </c>
      <c r="M315" t="s">
        <v>32</v>
      </c>
      <c r="N315" s="1"/>
      <c r="O315" t="s">
        <v>33</v>
      </c>
      <c r="P315" t="s">
        <v>469</v>
      </c>
    </row>
    <row r="316" spans="1:16" x14ac:dyDescent="0.3">
      <c r="A316">
        <v>1382</v>
      </c>
      <c r="B316" t="s">
        <v>396</v>
      </c>
      <c r="C316" t="s">
        <v>110</v>
      </c>
      <c r="D316" t="s">
        <v>37</v>
      </c>
      <c r="E316" s="1">
        <v>35233</v>
      </c>
      <c r="F316" s="1">
        <v>45379</v>
      </c>
      <c r="G316">
        <v>50</v>
      </c>
      <c r="H316" t="s">
        <v>71</v>
      </c>
      <c r="I316" t="s">
        <v>45</v>
      </c>
      <c r="J316" t="s">
        <v>52</v>
      </c>
      <c r="K316" t="s">
        <v>22</v>
      </c>
      <c r="L316">
        <v>4800</v>
      </c>
      <c r="M316" t="s">
        <v>32</v>
      </c>
      <c r="N316" s="1"/>
      <c r="O316" t="s">
        <v>33</v>
      </c>
      <c r="P316" t="s">
        <v>470</v>
      </c>
    </row>
    <row r="317" spans="1:16" x14ac:dyDescent="0.3">
      <c r="A317">
        <v>1208</v>
      </c>
      <c r="B317" t="s">
        <v>396</v>
      </c>
      <c r="C317" t="s">
        <v>144</v>
      </c>
      <c r="D317" t="s">
        <v>37</v>
      </c>
      <c r="E317" s="1">
        <v>33738</v>
      </c>
      <c r="F317" s="1">
        <v>44198</v>
      </c>
      <c r="G317">
        <v>60</v>
      </c>
      <c r="H317" t="s">
        <v>78</v>
      </c>
      <c r="I317" t="s">
        <v>30</v>
      </c>
      <c r="J317" t="s">
        <v>31</v>
      </c>
      <c r="K317" t="s">
        <v>22</v>
      </c>
      <c r="L317">
        <v>4900</v>
      </c>
      <c r="M317" t="s">
        <v>32</v>
      </c>
      <c r="N317" s="1"/>
      <c r="O317" t="s">
        <v>33</v>
      </c>
      <c r="P317" t="s">
        <v>471</v>
      </c>
    </row>
    <row r="318" spans="1:16" x14ac:dyDescent="0.3">
      <c r="A318">
        <v>1091</v>
      </c>
      <c r="B318" t="s">
        <v>164</v>
      </c>
      <c r="C318" t="s">
        <v>98</v>
      </c>
      <c r="D318" t="s">
        <v>37</v>
      </c>
      <c r="E318" s="1">
        <v>32559</v>
      </c>
      <c r="F318" s="1">
        <v>45502</v>
      </c>
      <c r="G318">
        <v>20</v>
      </c>
      <c r="H318" t="s">
        <v>68</v>
      </c>
      <c r="I318" t="s">
        <v>30</v>
      </c>
      <c r="J318" t="s">
        <v>21</v>
      </c>
      <c r="K318" t="s">
        <v>40</v>
      </c>
      <c r="L318">
        <v>5850</v>
      </c>
      <c r="M318" t="s">
        <v>32</v>
      </c>
      <c r="N318" s="1"/>
      <c r="O318" t="s">
        <v>33</v>
      </c>
      <c r="P318" t="s">
        <v>472</v>
      </c>
    </row>
    <row r="319" spans="1:16" x14ac:dyDescent="0.3">
      <c r="A319">
        <v>1308</v>
      </c>
      <c r="B319" t="s">
        <v>396</v>
      </c>
      <c r="C319" t="s">
        <v>163</v>
      </c>
      <c r="D319" t="s">
        <v>18</v>
      </c>
      <c r="E319" s="1">
        <v>30882</v>
      </c>
      <c r="F319" s="1">
        <v>42791</v>
      </c>
      <c r="G319">
        <v>10</v>
      </c>
      <c r="H319" t="s">
        <v>49</v>
      </c>
      <c r="I319" t="s">
        <v>30</v>
      </c>
      <c r="J319" t="s">
        <v>21</v>
      </c>
      <c r="K319" t="s">
        <v>22</v>
      </c>
      <c r="L319">
        <v>9150</v>
      </c>
      <c r="M319" t="s">
        <v>32</v>
      </c>
      <c r="N319" s="1"/>
      <c r="O319" t="s">
        <v>33</v>
      </c>
      <c r="P319" t="s">
        <v>473</v>
      </c>
    </row>
    <row r="320" spans="1:16" x14ac:dyDescent="0.3">
      <c r="A320">
        <v>1324</v>
      </c>
      <c r="B320" t="s">
        <v>42</v>
      </c>
      <c r="C320" t="s">
        <v>65</v>
      </c>
      <c r="D320" t="s">
        <v>18</v>
      </c>
      <c r="E320" s="1">
        <v>36109</v>
      </c>
      <c r="F320" s="1">
        <v>44918</v>
      </c>
      <c r="G320">
        <v>80</v>
      </c>
      <c r="H320" t="s">
        <v>159</v>
      </c>
      <c r="I320" t="s">
        <v>30</v>
      </c>
      <c r="J320" t="s">
        <v>21</v>
      </c>
      <c r="K320" t="s">
        <v>22</v>
      </c>
      <c r="L320">
        <v>6600</v>
      </c>
      <c r="M320" t="s">
        <v>23</v>
      </c>
      <c r="N320" s="1">
        <v>45662</v>
      </c>
      <c r="O320" t="s">
        <v>117</v>
      </c>
      <c r="P320" t="s">
        <v>474</v>
      </c>
    </row>
    <row r="321" spans="1:16" x14ac:dyDescent="0.3">
      <c r="A321">
        <v>1354</v>
      </c>
      <c r="B321" t="s">
        <v>136</v>
      </c>
      <c r="C321" t="s">
        <v>171</v>
      </c>
      <c r="D321" t="s">
        <v>18</v>
      </c>
      <c r="E321" s="1">
        <v>31930</v>
      </c>
      <c r="F321" s="1">
        <v>44454</v>
      </c>
      <c r="G321">
        <v>40</v>
      </c>
      <c r="H321" t="s">
        <v>120</v>
      </c>
      <c r="I321" t="s">
        <v>45</v>
      </c>
      <c r="J321" t="s">
        <v>21</v>
      </c>
      <c r="K321" t="s">
        <v>22</v>
      </c>
      <c r="L321">
        <v>4400</v>
      </c>
      <c r="M321" t="s">
        <v>32</v>
      </c>
      <c r="N321" s="1"/>
      <c r="O321" t="s">
        <v>33</v>
      </c>
      <c r="P321" t="s">
        <v>475</v>
      </c>
    </row>
    <row r="322" spans="1:16" x14ac:dyDescent="0.3">
      <c r="A322">
        <v>1040</v>
      </c>
      <c r="B322" t="s">
        <v>228</v>
      </c>
      <c r="C322" t="s">
        <v>171</v>
      </c>
      <c r="D322" t="s">
        <v>18</v>
      </c>
      <c r="E322" s="1">
        <v>31144</v>
      </c>
      <c r="F322" s="1">
        <v>44663</v>
      </c>
      <c r="G322">
        <v>60</v>
      </c>
      <c r="H322" t="s">
        <v>29</v>
      </c>
      <c r="I322" t="s">
        <v>30</v>
      </c>
      <c r="J322" t="s">
        <v>52</v>
      </c>
      <c r="K322" t="s">
        <v>22</v>
      </c>
      <c r="L322">
        <v>4500</v>
      </c>
      <c r="M322" t="s">
        <v>32</v>
      </c>
      <c r="N322" s="1"/>
      <c r="O322" t="s">
        <v>33</v>
      </c>
      <c r="P322" t="s">
        <v>476</v>
      </c>
    </row>
    <row r="323" spans="1:16" x14ac:dyDescent="0.3">
      <c r="A323">
        <v>1087</v>
      </c>
      <c r="B323" t="s">
        <v>396</v>
      </c>
      <c r="C323" t="s">
        <v>198</v>
      </c>
      <c r="D323" t="s">
        <v>18</v>
      </c>
      <c r="E323" s="1">
        <v>29207</v>
      </c>
      <c r="F323" s="1">
        <v>44850</v>
      </c>
      <c r="G323">
        <v>10</v>
      </c>
      <c r="H323" t="s">
        <v>87</v>
      </c>
      <c r="I323" t="s">
        <v>30</v>
      </c>
      <c r="J323" t="s">
        <v>31</v>
      </c>
      <c r="K323" t="s">
        <v>22</v>
      </c>
      <c r="L323">
        <v>8250</v>
      </c>
      <c r="M323" t="s">
        <v>32</v>
      </c>
      <c r="N323" s="1"/>
      <c r="O323" t="s">
        <v>33</v>
      </c>
      <c r="P323" t="s">
        <v>477</v>
      </c>
    </row>
    <row r="324" spans="1:16" x14ac:dyDescent="0.3">
      <c r="A324">
        <v>1182</v>
      </c>
      <c r="B324" t="s">
        <v>94</v>
      </c>
      <c r="C324" t="s">
        <v>140</v>
      </c>
      <c r="D324" t="s">
        <v>37</v>
      </c>
      <c r="E324" s="1">
        <v>35652</v>
      </c>
      <c r="F324" s="1">
        <v>43067</v>
      </c>
      <c r="G324">
        <v>20</v>
      </c>
      <c r="H324" t="s">
        <v>104</v>
      </c>
      <c r="I324" t="s">
        <v>45</v>
      </c>
      <c r="J324" t="s">
        <v>21</v>
      </c>
      <c r="K324" t="s">
        <v>22</v>
      </c>
      <c r="L324">
        <v>3550</v>
      </c>
      <c r="M324" t="s">
        <v>32</v>
      </c>
      <c r="N324" s="1"/>
      <c r="O324" t="s">
        <v>33</v>
      </c>
      <c r="P324" t="s">
        <v>478</v>
      </c>
    </row>
    <row r="325" spans="1:16" x14ac:dyDescent="0.3">
      <c r="A325">
        <v>1449</v>
      </c>
      <c r="B325" t="s">
        <v>339</v>
      </c>
      <c r="C325" t="s">
        <v>98</v>
      </c>
      <c r="D325" t="s">
        <v>37</v>
      </c>
      <c r="E325" s="1">
        <v>31144</v>
      </c>
      <c r="F325" s="1">
        <v>45342</v>
      </c>
      <c r="G325">
        <v>20</v>
      </c>
      <c r="H325" t="s">
        <v>104</v>
      </c>
      <c r="I325" t="s">
        <v>39</v>
      </c>
      <c r="J325" t="s">
        <v>21</v>
      </c>
      <c r="K325" t="s">
        <v>22</v>
      </c>
      <c r="L325">
        <v>6700</v>
      </c>
      <c r="M325" t="s">
        <v>32</v>
      </c>
      <c r="N325" s="1"/>
      <c r="O325" t="s">
        <v>33</v>
      </c>
      <c r="P325" t="s">
        <v>479</v>
      </c>
    </row>
    <row r="326" spans="1:16" x14ac:dyDescent="0.3">
      <c r="A326">
        <v>1146</v>
      </c>
      <c r="B326" t="s">
        <v>100</v>
      </c>
      <c r="C326" t="s">
        <v>119</v>
      </c>
      <c r="D326" t="s">
        <v>18</v>
      </c>
      <c r="E326" s="1">
        <v>36446</v>
      </c>
      <c r="F326" s="1">
        <v>44527</v>
      </c>
      <c r="G326">
        <v>60</v>
      </c>
      <c r="H326" t="s">
        <v>29</v>
      </c>
      <c r="I326" t="s">
        <v>30</v>
      </c>
      <c r="J326" t="s">
        <v>52</v>
      </c>
      <c r="K326" t="s">
        <v>22</v>
      </c>
      <c r="L326">
        <v>4000</v>
      </c>
      <c r="M326" t="s">
        <v>23</v>
      </c>
      <c r="N326" s="1">
        <v>45804</v>
      </c>
      <c r="O326" t="s">
        <v>24</v>
      </c>
      <c r="P326" t="s">
        <v>480</v>
      </c>
    </row>
    <row r="327" spans="1:16" x14ac:dyDescent="0.3">
      <c r="A327">
        <v>1159</v>
      </c>
      <c r="B327" t="s">
        <v>100</v>
      </c>
      <c r="C327" t="s">
        <v>163</v>
      </c>
      <c r="D327" t="s">
        <v>18</v>
      </c>
      <c r="E327" s="1">
        <v>33923</v>
      </c>
      <c r="F327" s="1">
        <v>42635</v>
      </c>
      <c r="G327">
        <v>60</v>
      </c>
      <c r="H327" t="s">
        <v>78</v>
      </c>
      <c r="I327" t="s">
        <v>39</v>
      </c>
      <c r="J327" t="s">
        <v>52</v>
      </c>
      <c r="K327" t="s">
        <v>22</v>
      </c>
      <c r="L327">
        <v>5850</v>
      </c>
      <c r="M327" t="s">
        <v>23</v>
      </c>
      <c r="N327" s="1">
        <v>44282</v>
      </c>
      <c r="O327" t="s">
        <v>105</v>
      </c>
      <c r="P327" t="s">
        <v>481</v>
      </c>
    </row>
    <row r="328" spans="1:16" x14ac:dyDescent="0.3">
      <c r="A328">
        <v>1472</v>
      </c>
      <c r="B328" t="s">
        <v>67</v>
      </c>
      <c r="C328" t="s">
        <v>482</v>
      </c>
      <c r="D328" t="s">
        <v>18</v>
      </c>
      <c r="E328" s="1">
        <v>30551</v>
      </c>
      <c r="F328" s="1">
        <v>44109</v>
      </c>
      <c r="G328">
        <v>60</v>
      </c>
      <c r="H328" t="s">
        <v>29</v>
      </c>
      <c r="I328" t="s">
        <v>39</v>
      </c>
      <c r="J328" t="s">
        <v>52</v>
      </c>
      <c r="K328" t="s">
        <v>22</v>
      </c>
      <c r="L328">
        <v>6400</v>
      </c>
      <c r="M328" t="s">
        <v>32</v>
      </c>
      <c r="N328" s="1"/>
      <c r="O328" t="s">
        <v>33</v>
      </c>
      <c r="P328" t="s">
        <v>483</v>
      </c>
    </row>
    <row r="329" spans="1:16" x14ac:dyDescent="0.3">
      <c r="A329">
        <v>1360</v>
      </c>
      <c r="B329" t="s">
        <v>85</v>
      </c>
      <c r="C329" t="s">
        <v>140</v>
      </c>
      <c r="D329" t="s">
        <v>37</v>
      </c>
      <c r="E329" s="1">
        <v>35486</v>
      </c>
      <c r="F329" s="1">
        <v>43344</v>
      </c>
      <c r="G329">
        <v>20</v>
      </c>
      <c r="H329" t="s">
        <v>104</v>
      </c>
      <c r="I329" t="s">
        <v>45</v>
      </c>
      <c r="J329" t="s">
        <v>21</v>
      </c>
      <c r="K329" t="s">
        <v>22</v>
      </c>
      <c r="L329">
        <v>3750</v>
      </c>
      <c r="M329" t="s">
        <v>32</v>
      </c>
      <c r="N329" s="1"/>
      <c r="O329" t="s">
        <v>33</v>
      </c>
      <c r="P329" t="s">
        <v>484</v>
      </c>
    </row>
    <row r="330" spans="1:16" x14ac:dyDescent="0.3">
      <c r="A330">
        <v>1460</v>
      </c>
      <c r="B330" t="s">
        <v>112</v>
      </c>
      <c r="C330" t="s">
        <v>194</v>
      </c>
      <c r="D330" t="s">
        <v>37</v>
      </c>
      <c r="E330" s="1">
        <v>26528</v>
      </c>
      <c r="F330" s="1">
        <v>44696</v>
      </c>
      <c r="G330">
        <v>70</v>
      </c>
      <c r="H330" t="s">
        <v>116</v>
      </c>
      <c r="I330" t="s">
        <v>39</v>
      </c>
      <c r="J330" t="s">
        <v>31</v>
      </c>
      <c r="K330" t="s">
        <v>22</v>
      </c>
      <c r="M330" t="s">
        <v>32</v>
      </c>
      <c r="N330" s="1"/>
      <c r="O330" t="s">
        <v>33</v>
      </c>
      <c r="P330" t="s">
        <v>485</v>
      </c>
    </row>
    <row r="331" spans="1:16" x14ac:dyDescent="0.3">
      <c r="A331">
        <v>1344</v>
      </c>
      <c r="B331" t="s">
        <v>100</v>
      </c>
      <c r="C331" t="s">
        <v>81</v>
      </c>
      <c r="D331" t="s">
        <v>37</v>
      </c>
      <c r="E331" s="1">
        <v>31348</v>
      </c>
      <c r="F331" s="1">
        <v>44270</v>
      </c>
      <c r="G331">
        <v>70</v>
      </c>
      <c r="H331" t="s">
        <v>116</v>
      </c>
      <c r="I331" t="s">
        <v>30</v>
      </c>
      <c r="J331" t="s">
        <v>31</v>
      </c>
      <c r="K331" t="s">
        <v>22</v>
      </c>
      <c r="M331" t="s">
        <v>23</v>
      </c>
      <c r="N331" s="1">
        <v>45736</v>
      </c>
      <c r="O331" t="s">
        <v>105</v>
      </c>
      <c r="P331" t="s">
        <v>486</v>
      </c>
    </row>
    <row r="332" spans="1:16" x14ac:dyDescent="0.3">
      <c r="A332">
        <v>1201</v>
      </c>
      <c r="B332" t="s">
        <v>112</v>
      </c>
      <c r="C332" t="s">
        <v>119</v>
      </c>
      <c r="D332" t="s">
        <v>18</v>
      </c>
      <c r="E332" s="1">
        <v>35472</v>
      </c>
      <c r="F332" s="1">
        <v>43700</v>
      </c>
      <c r="G332">
        <v>10</v>
      </c>
      <c r="H332" t="s">
        <v>44</v>
      </c>
      <c r="I332" t="s">
        <v>45</v>
      </c>
      <c r="J332" t="s">
        <v>21</v>
      </c>
      <c r="K332" t="s">
        <v>22</v>
      </c>
      <c r="L332">
        <v>5750</v>
      </c>
      <c r="M332" t="s">
        <v>32</v>
      </c>
      <c r="N332" s="1"/>
      <c r="O332" t="s">
        <v>33</v>
      </c>
      <c r="P332" t="s">
        <v>487</v>
      </c>
    </row>
    <row r="333" spans="1:16" x14ac:dyDescent="0.3">
      <c r="A333">
        <v>1293</v>
      </c>
      <c r="B333" t="s">
        <v>180</v>
      </c>
      <c r="C333" t="s">
        <v>43</v>
      </c>
      <c r="D333" t="s">
        <v>37</v>
      </c>
      <c r="E333" s="1">
        <v>35864</v>
      </c>
      <c r="F333" s="1">
        <v>43242</v>
      </c>
      <c r="G333">
        <v>10</v>
      </c>
      <c r="H333" t="s">
        <v>44</v>
      </c>
      <c r="I333" t="s">
        <v>45</v>
      </c>
      <c r="J333" t="s">
        <v>31</v>
      </c>
      <c r="K333" t="s">
        <v>22</v>
      </c>
      <c r="L333">
        <v>5450</v>
      </c>
      <c r="M333" t="s">
        <v>32</v>
      </c>
      <c r="N333" s="1"/>
      <c r="O333" t="s">
        <v>33</v>
      </c>
      <c r="P333" t="s">
        <v>488</v>
      </c>
    </row>
    <row r="334" spans="1:16" x14ac:dyDescent="0.3">
      <c r="A334">
        <v>1072</v>
      </c>
      <c r="B334" t="s">
        <v>134</v>
      </c>
      <c r="C334" t="s">
        <v>126</v>
      </c>
      <c r="D334" t="s">
        <v>37</v>
      </c>
      <c r="E334" s="1">
        <v>35196</v>
      </c>
      <c r="F334" s="1">
        <v>42609</v>
      </c>
      <c r="G334">
        <v>70</v>
      </c>
      <c r="H334" t="s">
        <v>38</v>
      </c>
      <c r="I334" t="s">
        <v>30</v>
      </c>
      <c r="J334" t="s">
        <v>31</v>
      </c>
      <c r="K334" t="s">
        <v>22</v>
      </c>
      <c r="L334">
        <v>5350</v>
      </c>
      <c r="M334" t="s">
        <v>32</v>
      </c>
      <c r="N334" s="1"/>
      <c r="O334" t="s">
        <v>33</v>
      </c>
      <c r="P334" t="s">
        <v>489</v>
      </c>
    </row>
    <row r="335" spans="1:16" x14ac:dyDescent="0.3">
      <c r="A335">
        <v>1375</v>
      </c>
      <c r="B335" t="s">
        <v>73</v>
      </c>
      <c r="C335" t="s">
        <v>128</v>
      </c>
      <c r="D335" t="s">
        <v>18</v>
      </c>
      <c r="E335" s="1">
        <v>32728</v>
      </c>
      <c r="F335" s="1">
        <v>45554</v>
      </c>
      <c r="G335">
        <v>60</v>
      </c>
      <c r="H335" t="s">
        <v>78</v>
      </c>
      <c r="I335" t="s">
        <v>45</v>
      </c>
      <c r="J335" t="s">
        <v>52</v>
      </c>
      <c r="K335" t="s">
        <v>22</v>
      </c>
      <c r="L335">
        <v>2550</v>
      </c>
      <c r="M335" t="s">
        <v>23</v>
      </c>
      <c r="N335" s="1">
        <v>45965</v>
      </c>
      <c r="O335" t="s">
        <v>105</v>
      </c>
      <c r="P335" t="s">
        <v>33</v>
      </c>
    </row>
    <row r="336" spans="1:16" x14ac:dyDescent="0.3">
      <c r="A336">
        <v>1409</v>
      </c>
      <c r="B336" t="s">
        <v>164</v>
      </c>
      <c r="C336" t="s">
        <v>216</v>
      </c>
      <c r="D336" t="s">
        <v>18</v>
      </c>
      <c r="E336" s="1">
        <v>26749</v>
      </c>
      <c r="F336" s="1">
        <v>42933</v>
      </c>
      <c r="G336">
        <v>70</v>
      </c>
      <c r="H336" t="s">
        <v>75</v>
      </c>
      <c r="I336" t="s">
        <v>20</v>
      </c>
      <c r="J336" t="s">
        <v>31</v>
      </c>
      <c r="K336" t="s">
        <v>22</v>
      </c>
      <c r="L336">
        <v>8700</v>
      </c>
      <c r="M336" t="s">
        <v>32</v>
      </c>
      <c r="N336" s="1"/>
      <c r="O336" t="s">
        <v>33</v>
      </c>
      <c r="P336" t="s">
        <v>490</v>
      </c>
    </row>
    <row r="337" spans="1:16" x14ac:dyDescent="0.3">
      <c r="A337">
        <v>1357</v>
      </c>
      <c r="B337" t="s">
        <v>64</v>
      </c>
      <c r="C337" t="s">
        <v>171</v>
      </c>
      <c r="D337" t="s">
        <v>18</v>
      </c>
      <c r="E337" s="1">
        <v>28718</v>
      </c>
      <c r="F337" s="1">
        <v>43336</v>
      </c>
      <c r="G337">
        <v>10</v>
      </c>
      <c r="H337" t="s">
        <v>108</v>
      </c>
      <c r="I337" t="s">
        <v>30</v>
      </c>
      <c r="J337" t="s">
        <v>21</v>
      </c>
      <c r="K337" t="s">
        <v>22</v>
      </c>
      <c r="L337">
        <v>8750</v>
      </c>
      <c r="M337" t="s">
        <v>32</v>
      </c>
      <c r="N337" s="1"/>
      <c r="O337" t="s">
        <v>33</v>
      </c>
      <c r="P337" t="s">
        <v>491</v>
      </c>
    </row>
    <row r="338" spans="1:16" x14ac:dyDescent="0.3">
      <c r="A338">
        <v>1386</v>
      </c>
      <c r="B338" t="s">
        <v>204</v>
      </c>
      <c r="C338" t="s">
        <v>81</v>
      </c>
      <c r="D338" t="s">
        <v>37</v>
      </c>
      <c r="E338" s="1">
        <v>29630</v>
      </c>
      <c r="F338" s="1">
        <v>45303</v>
      </c>
      <c r="G338">
        <v>40</v>
      </c>
      <c r="H338" t="s">
        <v>492</v>
      </c>
      <c r="I338" t="s">
        <v>20</v>
      </c>
      <c r="J338" t="s">
        <v>46</v>
      </c>
      <c r="K338" t="s">
        <v>22</v>
      </c>
      <c r="L338">
        <v>11200</v>
      </c>
      <c r="M338" t="s">
        <v>32</v>
      </c>
      <c r="N338" s="1"/>
      <c r="O338" t="s">
        <v>33</v>
      </c>
      <c r="P338" t="s">
        <v>493</v>
      </c>
    </row>
    <row r="339" spans="1:16" x14ac:dyDescent="0.3">
      <c r="A339">
        <v>1470</v>
      </c>
      <c r="B339" t="s">
        <v>67</v>
      </c>
      <c r="C339" t="s">
        <v>65</v>
      </c>
      <c r="D339" t="s">
        <v>18</v>
      </c>
      <c r="E339" s="1">
        <v>29271</v>
      </c>
      <c r="F339" s="1">
        <v>45055</v>
      </c>
      <c r="G339">
        <v>70</v>
      </c>
      <c r="H339" t="s">
        <v>116</v>
      </c>
      <c r="I339" t="s">
        <v>30</v>
      </c>
      <c r="J339" t="s">
        <v>31</v>
      </c>
      <c r="K339" t="s">
        <v>22</v>
      </c>
      <c r="M339" t="s">
        <v>32</v>
      </c>
      <c r="N339" s="1"/>
      <c r="O339" t="s">
        <v>33</v>
      </c>
      <c r="P339" t="s">
        <v>494</v>
      </c>
    </row>
    <row r="340" spans="1:16" x14ac:dyDescent="0.3">
      <c r="A340">
        <v>1456</v>
      </c>
      <c r="B340" t="s">
        <v>147</v>
      </c>
      <c r="C340" t="s">
        <v>126</v>
      </c>
      <c r="D340" t="s">
        <v>37</v>
      </c>
      <c r="E340" s="1">
        <v>27777</v>
      </c>
      <c r="F340" s="1">
        <v>45328</v>
      </c>
      <c r="G340">
        <v>30</v>
      </c>
      <c r="H340" t="s">
        <v>56</v>
      </c>
      <c r="I340" t="s">
        <v>30</v>
      </c>
      <c r="J340" t="s">
        <v>46</v>
      </c>
      <c r="K340" t="s">
        <v>22</v>
      </c>
      <c r="L340">
        <v>5550</v>
      </c>
      <c r="M340" t="s">
        <v>32</v>
      </c>
      <c r="N340" s="1"/>
      <c r="O340" t="s">
        <v>33</v>
      </c>
      <c r="P340" t="s">
        <v>495</v>
      </c>
    </row>
    <row r="341" spans="1:16" x14ac:dyDescent="0.3">
      <c r="A341">
        <v>1421</v>
      </c>
      <c r="B341" t="s">
        <v>150</v>
      </c>
      <c r="C341" t="s">
        <v>27</v>
      </c>
      <c r="D341" t="s">
        <v>37</v>
      </c>
      <c r="E341" s="1">
        <v>34687</v>
      </c>
      <c r="F341" s="1">
        <v>44759</v>
      </c>
      <c r="G341">
        <v>10</v>
      </c>
      <c r="H341" t="s">
        <v>49</v>
      </c>
      <c r="I341" t="s">
        <v>39</v>
      </c>
      <c r="J341" t="s">
        <v>83</v>
      </c>
      <c r="K341" t="s">
        <v>22</v>
      </c>
      <c r="L341">
        <v>14650</v>
      </c>
      <c r="M341" t="s">
        <v>32</v>
      </c>
      <c r="N341" s="1"/>
      <c r="O341" t="s">
        <v>33</v>
      </c>
      <c r="P341" t="s">
        <v>496</v>
      </c>
    </row>
    <row r="342" spans="1:16" x14ac:dyDescent="0.3">
      <c r="A342">
        <v>1134</v>
      </c>
      <c r="B342" t="s">
        <v>89</v>
      </c>
      <c r="C342" t="s">
        <v>266</v>
      </c>
      <c r="D342" t="s">
        <v>37</v>
      </c>
      <c r="E342" s="1">
        <v>34318</v>
      </c>
      <c r="F342" s="1">
        <v>43271</v>
      </c>
      <c r="G342">
        <v>20</v>
      </c>
      <c r="H342" t="s">
        <v>68</v>
      </c>
      <c r="I342" t="s">
        <v>45</v>
      </c>
      <c r="J342" t="s">
        <v>21</v>
      </c>
      <c r="K342" t="s">
        <v>22</v>
      </c>
      <c r="L342">
        <v>4950</v>
      </c>
      <c r="M342" t="s">
        <v>32</v>
      </c>
      <c r="N342" s="1"/>
      <c r="O342" t="s">
        <v>33</v>
      </c>
      <c r="P342" t="s">
        <v>497</v>
      </c>
    </row>
    <row r="343" spans="1:16" x14ac:dyDescent="0.3">
      <c r="A343">
        <v>1061</v>
      </c>
      <c r="B343" t="s">
        <v>58</v>
      </c>
      <c r="C343" t="s">
        <v>266</v>
      </c>
      <c r="D343" t="s">
        <v>37</v>
      </c>
      <c r="E343" s="1">
        <v>31366</v>
      </c>
      <c r="F343" s="1">
        <v>43896</v>
      </c>
      <c r="G343">
        <v>20</v>
      </c>
      <c r="H343" t="s">
        <v>104</v>
      </c>
      <c r="I343" t="s">
        <v>39</v>
      </c>
      <c r="J343" t="s">
        <v>61</v>
      </c>
      <c r="K343" t="s">
        <v>22</v>
      </c>
      <c r="L343">
        <v>8850</v>
      </c>
      <c r="M343" t="s">
        <v>23</v>
      </c>
      <c r="N343" s="1">
        <v>44516</v>
      </c>
      <c r="O343" t="s">
        <v>186</v>
      </c>
      <c r="P343" t="s">
        <v>498</v>
      </c>
    </row>
    <row r="344" spans="1:16" x14ac:dyDescent="0.3">
      <c r="A344">
        <v>1370</v>
      </c>
      <c r="B344" t="s">
        <v>164</v>
      </c>
      <c r="C344" t="s">
        <v>140</v>
      </c>
      <c r="D344" t="s">
        <v>37</v>
      </c>
      <c r="E344" s="1">
        <v>26640</v>
      </c>
      <c r="F344" s="1">
        <v>44661</v>
      </c>
      <c r="G344">
        <v>10</v>
      </c>
      <c r="H344" t="s">
        <v>108</v>
      </c>
      <c r="I344" t="s">
        <v>39</v>
      </c>
      <c r="J344" t="s">
        <v>21</v>
      </c>
      <c r="K344" t="s">
        <v>22</v>
      </c>
      <c r="L344">
        <v>12700</v>
      </c>
      <c r="M344" t="s">
        <v>32</v>
      </c>
      <c r="N344" s="1"/>
      <c r="O344" t="s">
        <v>33</v>
      </c>
      <c r="P344" t="s">
        <v>499</v>
      </c>
    </row>
    <row r="345" spans="1:16" x14ac:dyDescent="0.3">
      <c r="A345">
        <v>1471</v>
      </c>
      <c r="B345" t="s">
        <v>35</v>
      </c>
      <c r="C345" t="s">
        <v>216</v>
      </c>
      <c r="D345" t="s">
        <v>18</v>
      </c>
      <c r="E345" s="1">
        <v>30610</v>
      </c>
      <c r="F345" s="1">
        <v>43835</v>
      </c>
      <c r="G345">
        <v>30</v>
      </c>
      <c r="H345" t="s">
        <v>56</v>
      </c>
      <c r="I345" t="s">
        <v>30</v>
      </c>
      <c r="J345" t="s">
        <v>52</v>
      </c>
      <c r="K345" t="s">
        <v>22</v>
      </c>
      <c r="L345">
        <v>5700</v>
      </c>
      <c r="M345" t="s">
        <v>32</v>
      </c>
      <c r="N345" s="1"/>
      <c r="O345" t="s">
        <v>33</v>
      </c>
      <c r="P345" t="s">
        <v>500</v>
      </c>
    </row>
    <row r="346" spans="1:16" x14ac:dyDescent="0.3">
      <c r="A346">
        <v>1101</v>
      </c>
      <c r="B346" t="s">
        <v>73</v>
      </c>
      <c r="C346" t="s">
        <v>110</v>
      </c>
      <c r="D346" t="s">
        <v>37</v>
      </c>
      <c r="E346" s="1">
        <v>35193</v>
      </c>
      <c r="F346" s="1">
        <v>44229</v>
      </c>
      <c r="H346" t="s">
        <v>68</v>
      </c>
      <c r="I346" t="s">
        <v>45</v>
      </c>
      <c r="J346" t="s">
        <v>21</v>
      </c>
      <c r="K346" t="s">
        <v>22</v>
      </c>
      <c r="L346">
        <v>4200</v>
      </c>
      <c r="M346" t="s">
        <v>23</v>
      </c>
      <c r="N346" s="1">
        <v>44405</v>
      </c>
      <c r="O346" t="s">
        <v>33</v>
      </c>
      <c r="P346" t="s">
        <v>501</v>
      </c>
    </row>
    <row r="347" spans="1:16" x14ac:dyDescent="0.3">
      <c r="A347">
        <v>1020</v>
      </c>
      <c r="B347" t="s">
        <v>134</v>
      </c>
      <c r="C347" t="s">
        <v>224</v>
      </c>
      <c r="D347" t="s">
        <v>37</v>
      </c>
      <c r="E347" s="1">
        <v>31116</v>
      </c>
      <c r="F347" s="1">
        <v>45306</v>
      </c>
      <c r="G347">
        <v>10</v>
      </c>
      <c r="H347" t="s">
        <v>44</v>
      </c>
      <c r="I347" t="s">
        <v>39</v>
      </c>
      <c r="J347" t="s">
        <v>46</v>
      </c>
      <c r="K347" t="s">
        <v>22</v>
      </c>
      <c r="L347">
        <v>11650</v>
      </c>
      <c r="M347" t="s">
        <v>32</v>
      </c>
      <c r="N347" s="1"/>
      <c r="O347" t="s">
        <v>33</v>
      </c>
      <c r="P347" t="s">
        <v>502</v>
      </c>
    </row>
    <row r="348" spans="1:16" x14ac:dyDescent="0.3">
      <c r="A348">
        <v>1378</v>
      </c>
      <c r="B348" t="s">
        <v>42</v>
      </c>
      <c r="C348" t="s">
        <v>131</v>
      </c>
      <c r="D348" t="s">
        <v>18</v>
      </c>
      <c r="E348" s="1">
        <v>34137</v>
      </c>
      <c r="F348" s="1">
        <v>42948</v>
      </c>
      <c r="G348">
        <v>70</v>
      </c>
      <c r="H348" t="s">
        <v>116</v>
      </c>
      <c r="I348" t="s">
        <v>30</v>
      </c>
      <c r="J348" t="s">
        <v>21</v>
      </c>
      <c r="K348" t="s">
        <v>22</v>
      </c>
      <c r="L348">
        <v>5300</v>
      </c>
      <c r="M348" t="s">
        <v>32</v>
      </c>
      <c r="N348" s="1"/>
      <c r="O348" t="s">
        <v>33</v>
      </c>
      <c r="P348" t="s">
        <v>503</v>
      </c>
    </row>
    <row r="349" spans="1:16" x14ac:dyDescent="0.3">
      <c r="A349">
        <v>1455</v>
      </c>
      <c r="B349" t="s">
        <v>147</v>
      </c>
      <c r="C349" t="s">
        <v>74</v>
      </c>
      <c r="D349" t="s">
        <v>18</v>
      </c>
      <c r="E349" s="1">
        <v>33067</v>
      </c>
      <c r="F349" s="1">
        <v>44054</v>
      </c>
      <c r="G349">
        <v>50</v>
      </c>
      <c r="H349" t="s">
        <v>71</v>
      </c>
      <c r="I349" t="s">
        <v>45</v>
      </c>
      <c r="J349" t="s">
        <v>52</v>
      </c>
      <c r="K349" t="s">
        <v>22</v>
      </c>
      <c r="L349">
        <v>4900</v>
      </c>
      <c r="M349" t="s">
        <v>32</v>
      </c>
      <c r="N349" s="1"/>
      <c r="O349" t="s">
        <v>33</v>
      </c>
      <c r="P349" t="s">
        <v>504</v>
      </c>
    </row>
    <row r="350" spans="1:16" x14ac:dyDescent="0.3">
      <c r="A350">
        <v>1265</v>
      </c>
      <c r="B350" t="s">
        <v>188</v>
      </c>
      <c r="C350" t="s">
        <v>178</v>
      </c>
      <c r="D350" t="s">
        <v>148</v>
      </c>
      <c r="E350" s="1">
        <v>33691</v>
      </c>
      <c r="F350" s="1">
        <v>43568</v>
      </c>
      <c r="G350">
        <v>40</v>
      </c>
      <c r="H350" t="s">
        <v>101</v>
      </c>
      <c r="I350" t="s">
        <v>45</v>
      </c>
      <c r="J350" t="s">
        <v>21</v>
      </c>
      <c r="K350" t="s">
        <v>22</v>
      </c>
      <c r="L350">
        <v>3450</v>
      </c>
      <c r="M350" t="s">
        <v>32</v>
      </c>
      <c r="N350" s="1"/>
      <c r="O350" t="s">
        <v>33</v>
      </c>
      <c r="P350" t="s">
        <v>33</v>
      </c>
    </row>
    <row r="351" spans="1:16" x14ac:dyDescent="0.3">
      <c r="A351">
        <v>1277</v>
      </c>
      <c r="B351" t="s">
        <v>26</v>
      </c>
      <c r="C351" t="s">
        <v>65</v>
      </c>
      <c r="D351" t="s">
        <v>18</v>
      </c>
      <c r="E351" s="1">
        <v>27806</v>
      </c>
      <c r="F351" s="1">
        <v>42726</v>
      </c>
      <c r="G351">
        <v>40</v>
      </c>
      <c r="H351" t="s">
        <v>120</v>
      </c>
      <c r="I351" t="s">
        <v>30</v>
      </c>
      <c r="J351" t="s">
        <v>21</v>
      </c>
      <c r="K351" t="s">
        <v>22</v>
      </c>
      <c r="L351">
        <v>5500</v>
      </c>
      <c r="M351" t="s">
        <v>23</v>
      </c>
      <c r="N351" s="1">
        <v>44454</v>
      </c>
      <c r="O351" t="s">
        <v>186</v>
      </c>
      <c r="P351" t="s">
        <v>505</v>
      </c>
    </row>
    <row r="352" spans="1:16" x14ac:dyDescent="0.3">
      <c r="A352">
        <v>1009</v>
      </c>
      <c r="B352" t="s">
        <v>67</v>
      </c>
      <c r="C352" t="s">
        <v>155</v>
      </c>
      <c r="D352" t="s">
        <v>37</v>
      </c>
      <c r="E352" s="1">
        <v>27140</v>
      </c>
      <c r="F352" s="1">
        <v>43302</v>
      </c>
      <c r="G352">
        <v>20</v>
      </c>
      <c r="H352" t="s">
        <v>60</v>
      </c>
      <c r="I352" t="s">
        <v>20</v>
      </c>
      <c r="J352" t="s">
        <v>61</v>
      </c>
      <c r="K352" t="s">
        <v>22</v>
      </c>
      <c r="L352">
        <v>9450</v>
      </c>
      <c r="M352" t="s">
        <v>23</v>
      </c>
      <c r="N352" s="1">
        <v>45289</v>
      </c>
      <c r="O352" t="s">
        <v>24</v>
      </c>
      <c r="P352" t="s">
        <v>506</v>
      </c>
    </row>
    <row r="353" spans="1:16" x14ac:dyDescent="0.3">
      <c r="A353">
        <v>1310</v>
      </c>
      <c r="B353" t="s">
        <v>100</v>
      </c>
      <c r="C353" t="s">
        <v>163</v>
      </c>
      <c r="D353" t="s">
        <v>18</v>
      </c>
      <c r="E353" s="1">
        <v>32074</v>
      </c>
      <c r="F353" s="1">
        <v>42884</v>
      </c>
      <c r="G353">
        <v>30</v>
      </c>
      <c r="H353" t="s">
        <v>56</v>
      </c>
      <c r="I353" t="s">
        <v>45</v>
      </c>
      <c r="J353" t="s">
        <v>61</v>
      </c>
      <c r="K353" t="s">
        <v>22</v>
      </c>
      <c r="M353" t="s">
        <v>23</v>
      </c>
      <c r="N353" s="1">
        <v>43368</v>
      </c>
      <c r="O353" t="s">
        <v>186</v>
      </c>
      <c r="P353" t="s">
        <v>507</v>
      </c>
    </row>
    <row r="354" spans="1:16" x14ac:dyDescent="0.3">
      <c r="A354">
        <v>1284</v>
      </c>
      <c r="B354" t="s">
        <v>64</v>
      </c>
      <c r="C354" t="s">
        <v>178</v>
      </c>
      <c r="D354" t="s">
        <v>18</v>
      </c>
      <c r="E354" s="1">
        <v>28773</v>
      </c>
      <c r="F354" s="1">
        <v>45259</v>
      </c>
      <c r="G354">
        <v>10</v>
      </c>
      <c r="H354" t="s">
        <v>44</v>
      </c>
      <c r="I354" t="s">
        <v>39</v>
      </c>
      <c r="J354" t="s">
        <v>21</v>
      </c>
      <c r="K354" t="s">
        <v>22</v>
      </c>
      <c r="L354">
        <v>13850</v>
      </c>
      <c r="M354" t="s">
        <v>32</v>
      </c>
      <c r="N354" s="1"/>
      <c r="O354" t="s">
        <v>33</v>
      </c>
      <c r="P354" t="s">
        <v>508</v>
      </c>
    </row>
    <row r="355" spans="1:16" x14ac:dyDescent="0.3">
      <c r="A355">
        <v>1465</v>
      </c>
      <c r="B355" t="s">
        <v>125</v>
      </c>
      <c r="C355" t="s">
        <v>224</v>
      </c>
      <c r="D355" t="s">
        <v>37</v>
      </c>
      <c r="E355" s="1">
        <v>32547</v>
      </c>
      <c r="F355" s="1">
        <v>43471</v>
      </c>
      <c r="G355">
        <v>20</v>
      </c>
      <c r="H355" t="s">
        <v>104</v>
      </c>
      <c r="I355" t="s">
        <v>39</v>
      </c>
      <c r="J355" t="s">
        <v>31</v>
      </c>
      <c r="K355" t="s">
        <v>40</v>
      </c>
      <c r="L355">
        <v>7800</v>
      </c>
      <c r="M355" t="s">
        <v>32</v>
      </c>
      <c r="N355" s="1"/>
      <c r="O355" t="s">
        <v>33</v>
      </c>
      <c r="P355" t="s">
        <v>509</v>
      </c>
    </row>
    <row r="356" spans="1:16" x14ac:dyDescent="0.3">
      <c r="A356">
        <v>1093</v>
      </c>
      <c r="B356" t="s">
        <v>157</v>
      </c>
      <c r="C356" t="s">
        <v>74</v>
      </c>
      <c r="D356" t="s">
        <v>18</v>
      </c>
      <c r="E356" s="1">
        <v>26796</v>
      </c>
      <c r="F356" s="1">
        <v>45315</v>
      </c>
      <c r="G356">
        <v>60</v>
      </c>
      <c r="H356" t="s">
        <v>78</v>
      </c>
      <c r="I356" t="s">
        <v>39</v>
      </c>
      <c r="J356" t="s">
        <v>21</v>
      </c>
      <c r="K356" t="s">
        <v>22</v>
      </c>
      <c r="L356">
        <v>6800</v>
      </c>
      <c r="M356" t="s">
        <v>23</v>
      </c>
      <c r="N356" s="1">
        <v>45603</v>
      </c>
      <c r="O356" t="s">
        <v>33</v>
      </c>
      <c r="P356" t="s">
        <v>510</v>
      </c>
    </row>
    <row r="357" spans="1:16" x14ac:dyDescent="0.3">
      <c r="A357">
        <v>1253</v>
      </c>
      <c r="B357" t="s">
        <v>115</v>
      </c>
      <c r="C357" t="s">
        <v>98</v>
      </c>
      <c r="D357" t="s">
        <v>37</v>
      </c>
      <c r="E357" s="1">
        <v>31313</v>
      </c>
      <c r="F357" s="1">
        <v>44608</v>
      </c>
      <c r="G357">
        <v>30</v>
      </c>
      <c r="H357" t="s">
        <v>209</v>
      </c>
      <c r="I357" t="s">
        <v>45</v>
      </c>
      <c r="J357" t="s">
        <v>46</v>
      </c>
      <c r="K357" t="s">
        <v>22</v>
      </c>
      <c r="L357">
        <v>4050</v>
      </c>
      <c r="M357" t="s">
        <v>23</v>
      </c>
      <c r="N357" s="1">
        <v>45056</v>
      </c>
      <c r="O357" t="s">
        <v>105</v>
      </c>
      <c r="P357" t="s">
        <v>511</v>
      </c>
    </row>
    <row r="358" spans="1:16" x14ac:dyDescent="0.3">
      <c r="A358">
        <v>1033</v>
      </c>
      <c r="B358" t="s">
        <v>396</v>
      </c>
      <c r="C358" t="s">
        <v>27</v>
      </c>
      <c r="D358" t="s">
        <v>37</v>
      </c>
      <c r="E358" s="1">
        <v>26550</v>
      </c>
      <c r="F358" s="1">
        <v>42526</v>
      </c>
      <c r="G358">
        <v>10</v>
      </c>
      <c r="H358" t="s">
        <v>275</v>
      </c>
      <c r="I358" t="s">
        <v>20</v>
      </c>
      <c r="J358" t="s">
        <v>21</v>
      </c>
      <c r="K358" t="s">
        <v>22</v>
      </c>
      <c r="L358">
        <v>17900</v>
      </c>
      <c r="M358" t="s">
        <v>23</v>
      </c>
      <c r="N358" s="1">
        <v>43453</v>
      </c>
      <c r="O358" t="s">
        <v>105</v>
      </c>
      <c r="P358" t="s">
        <v>512</v>
      </c>
    </row>
    <row r="359" spans="1:16" x14ac:dyDescent="0.3">
      <c r="A359">
        <v>1136</v>
      </c>
      <c r="B359" t="s">
        <v>42</v>
      </c>
      <c r="C359" t="s">
        <v>163</v>
      </c>
      <c r="D359" t="s">
        <v>18</v>
      </c>
      <c r="E359" s="1">
        <v>33813</v>
      </c>
      <c r="F359" s="1">
        <v>43931</v>
      </c>
      <c r="G359">
        <v>60</v>
      </c>
      <c r="H359" t="s">
        <v>29</v>
      </c>
      <c r="I359" t="s">
        <v>39</v>
      </c>
      <c r="J359" t="s">
        <v>21</v>
      </c>
      <c r="K359" t="s">
        <v>22</v>
      </c>
      <c r="L359">
        <v>6200</v>
      </c>
      <c r="M359" t="s">
        <v>32</v>
      </c>
      <c r="N359" s="1"/>
      <c r="O359" t="s">
        <v>33</v>
      </c>
      <c r="P359" t="s">
        <v>513</v>
      </c>
    </row>
    <row r="360" spans="1:16" x14ac:dyDescent="0.3">
      <c r="A360">
        <v>1023</v>
      </c>
      <c r="B360" t="s">
        <v>48</v>
      </c>
      <c r="C360" t="s">
        <v>36</v>
      </c>
      <c r="D360" t="s">
        <v>37</v>
      </c>
      <c r="E360" s="1">
        <v>35376</v>
      </c>
      <c r="F360" s="1">
        <v>44115</v>
      </c>
      <c r="G360">
        <v>70</v>
      </c>
      <c r="H360" t="s">
        <v>116</v>
      </c>
      <c r="I360" t="s">
        <v>45</v>
      </c>
      <c r="J360" t="s">
        <v>31</v>
      </c>
      <c r="K360" t="s">
        <v>22</v>
      </c>
      <c r="L360">
        <v>4400</v>
      </c>
      <c r="M360" t="s">
        <v>32</v>
      </c>
      <c r="N360" s="1"/>
      <c r="O360" t="s">
        <v>33</v>
      </c>
      <c r="P360" t="s">
        <v>514</v>
      </c>
    </row>
    <row r="361" spans="1:16" x14ac:dyDescent="0.3">
      <c r="A361">
        <v>1063</v>
      </c>
      <c r="B361" t="s">
        <v>136</v>
      </c>
      <c r="C361" t="s">
        <v>184</v>
      </c>
      <c r="D361" t="s">
        <v>37</v>
      </c>
      <c r="E361" s="1">
        <v>29007</v>
      </c>
      <c r="F361" s="1">
        <v>44803</v>
      </c>
      <c r="G361">
        <v>50</v>
      </c>
      <c r="H361" t="s">
        <v>123</v>
      </c>
      <c r="I361" t="s">
        <v>30</v>
      </c>
      <c r="J361" t="s">
        <v>21</v>
      </c>
      <c r="K361" t="s">
        <v>22</v>
      </c>
      <c r="L361">
        <v>7450</v>
      </c>
      <c r="M361" t="s">
        <v>32</v>
      </c>
      <c r="N361" s="1"/>
      <c r="O361" t="s">
        <v>33</v>
      </c>
      <c r="P361" t="s">
        <v>515</v>
      </c>
    </row>
    <row r="362" spans="1:16" x14ac:dyDescent="0.3">
      <c r="A362">
        <v>1476</v>
      </c>
      <c r="B362" t="s">
        <v>136</v>
      </c>
      <c r="C362" t="s">
        <v>178</v>
      </c>
      <c r="D362" t="s">
        <v>18</v>
      </c>
      <c r="E362" s="1">
        <v>36635</v>
      </c>
      <c r="F362" s="1">
        <v>44388</v>
      </c>
      <c r="G362">
        <v>20</v>
      </c>
      <c r="H362" t="s">
        <v>68</v>
      </c>
      <c r="I362" t="s">
        <v>30</v>
      </c>
      <c r="J362" t="s">
        <v>21</v>
      </c>
      <c r="K362" t="s">
        <v>22</v>
      </c>
      <c r="L362">
        <v>4400</v>
      </c>
      <c r="M362" t="s">
        <v>23</v>
      </c>
      <c r="N362" s="1">
        <v>45415</v>
      </c>
      <c r="O362" t="s">
        <v>105</v>
      </c>
      <c r="P362" t="s">
        <v>516</v>
      </c>
    </row>
    <row r="363" spans="1:16" x14ac:dyDescent="0.3">
      <c r="A363">
        <v>1216</v>
      </c>
      <c r="B363" t="s">
        <v>64</v>
      </c>
      <c r="C363" t="s">
        <v>206</v>
      </c>
      <c r="D363" t="s">
        <v>18</v>
      </c>
      <c r="E363" s="1">
        <v>36274</v>
      </c>
      <c r="F363" s="1">
        <v>45069</v>
      </c>
      <c r="G363">
        <v>50</v>
      </c>
      <c r="H363" t="s">
        <v>71</v>
      </c>
      <c r="I363" t="s">
        <v>45</v>
      </c>
      <c r="J363" t="s">
        <v>52</v>
      </c>
      <c r="K363" t="s">
        <v>22</v>
      </c>
      <c r="L363">
        <v>4600</v>
      </c>
      <c r="M363" t="s">
        <v>32</v>
      </c>
      <c r="N363" s="1"/>
      <c r="O363" t="s">
        <v>33</v>
      </c>
      <c r="P363" t="s">
        <v>517</v>
      </c>
    </row>
    <row r="364" spans="1:16" x14ac:dyDescent="0.3">
      <c r="A364">
        <v>1404</v>
      </c>
      <c r="B364" t="s">
        <v>396</v>
      </c>
      <c r="C364" t="s">
        <v>110</v>
      </c>
      <c r="D364" t="s">
        <v>37</v>
      </c>
      <c r="E364" s="1">
        <v>35295</v>
      </c>
      <c r="F364" s="1">
        <v>43076</v>
      </c>
      <c r="G364">
        <v>10</v>
      </c>
      <c r="H364" t="s">
        <v>87</v>
      </c>
      <c r="I364" t="s">
        <v>45</v>
      </c>
      <c r="J364" t="s">
        <v>21</v>
      </c>
      <c r="K364" t="s">
        <v>22</v>
      </c>
      <c r="L364">
        <v>5750</v>
      </c>
      <c r="M364" t="s">
        <v>32</v>
      </c>
      <c r="N364" s="1"/>
      <c r="O364" t="s">
        <v>33</v>
      </c>
      <c r="P364" t="s">
        <v>518</v>
      </c>
    </row>
    <row r="365" spans="1:16" x14ac:dyDescent="0.3">
      <c r="A365">
        <v>1240</v>
      </c>
      <c r="B365" t="s">
        <v>157</v>
      </c>
      <c r="C365" t="s">
        <v>171</v>
      </c>
      <c r="D365" t="s">
        <v>18</v>
      </c>
      <c r="E365" s="1">
        <v>35144</v>
      </c>
      <c r="F365" s="1">
        <v>42925</v>
      </c>
      <c r="G365">
        <v>20</v>
      </c>
      <c r="H365" t="s">
        <v>104</v>
      </c>
      <c r="I365" t="s">
        <v>214</v>
      </c>
      <c r="J365" t="s">
        <v>21</v>
      </c>
      <c r="K365" t="s">
        <v>22</v>
      </c>
      <c r="L365">
        <v>3500</v>
      </c>
      <c r="M365" t="s">
        <v>32</v>
      </c>
      <c r="N365" s="1"/>
      <c r="O365" t="s">
        <v>33</v>
      </c>
      <c r="P365" t="s">
        <v>295</v>
      </c>
    </row>
    <row r="366" spans="1:16" x14ac:dyDescent="0.3">
      <c r="A366">
        <v>1258</v>
      </c>
      <c r="B366" t="s">
        <v>188</v>
      </c>
      <c r="C366" t="s">
        <v>90</v>
      </c>
      <c r="D366" t="s">
        <v>18</v>
      </c>
      <c r="E366" s="1">
        <v>28406</v>
      </c>
      <c r="F366" s="1">
        <v>44582</v>
      </c>
      <c r="G366">
        <v>10</v>
      </c>
      <c r="H366" t="s">
        <v>108</v>
      </c>
      <c r="I366" t="s">
        <v>30</v>
      </c>
      <c r="J366" t="s">
        <v>21</v>
      </c>
      <c r="K366" t="s">
        <v>22</v>
      </c>
      <c r="M366" t="s">
        <v>32</v>
      </c>
      <c r="N366" s="1"/>
      <c r="O366" t="s">
        <v>33</v>
      </c>
      <c r="P366" t="s">
        <v>519</v>
      </c>
    </row>
    <row r="367" spans="1:16" x14ac:dyDescent="0.3">
      <c r="A367">
        <v>1053</v>
      </c>
      <c r="B367" t="s">
        <v>48</v>
      </c>
      <c r="C367" t="s">
        <v>59</v>
      </c>
      <c r="D367" t="s">
        <v>18</v>
      </c>
      <c r="E367" s="1">
        <v>28721</v>
      </c>
      <c r="F367" s="1">
        <v>44847</v>
      </c>
      <c r="G367">
        <v>10</v>
      </c>
      <c r="H367" t="s">
        <v>44</v>
      </c>
      <c r="I367" t="s">
        <v>30</v>
      </c>
      <c r="J367" t="s">
        <v>21</v>
      </c>
      <c r="K367" t="s">
        <v>22</v>
      </c>
      <c r="L367">
        <v>7800</v>
      </c>
      <c r="M367" t="s">
        <v>32</v>
      </c>
      <c r="N367" s="1"/>
      <c r="O367" t="s">
        <v>33</v>
      </c>
      <c r="P367" t="s">
        <v>520</v>
      </c>
    </row>
    <row r="368" spans="1:16" x14ac:dyDescent="0.3">
      <c r="A368">
        <v>1405</v>
      </c>
      <c r="B368" t="s">
        <v>89</v>
      </c>
      <c r="C368" t="s">
        <v>200</v>
      </c>
      <c r="D368" t="s">
        <v>18</v>
      </c>
      <c r="E368" s="1">
        <v>27896</v>
      </c>
      <c r="F368" s="1">
        <v>42966</v>
      </c>
      <c r="G368">
        <v>20</v>
      </c>
      <c r="H368" t="s">
        <v>104</v>
      </c>
      <c r="I368" t="s">
        <v>30</v>
      </c>
      <c r="J368" t="s">
        <v>52</v>
      </c>
      <c r="K368" t="s">
        <v>22</v>
      </c>
      <c r="L368">
        <v>4750</v>
      </c>
      <c r="M368" t="s">
        <v>32</v>
      </c>
      <c r="N368" s="1"/>
      <c r="O368" t="s">
        <v>33</v>
      </c>
      <c r="P368" t="s">
        <v>521</v>
      </c>
    </row>
    <row r="369" spans="1:16" x14ac:dyDescent="0.3">
      <c r="A369">
        <v>1174</v>
      </c>
      <c r="B369" t="s">
        <v>70</v>
      </c>
      <c r="C369" t="s">
        <v>522</v>
      </c>
      <c r="D369" t="s">
        <v>37</v>
      </c>
      <c r="E369" s="1">
        <v>28786</v>
      </c>
      <c r="F369" s="1">
        <v>42490</v>
      </c>
      <c r="G369">
        <v>60</v>
      </c>
      <c r="H369" t="s">
        <v>78</v>
      </c>
      <c r="I369" t="s">
        <v>39</v>
      </c>
      <c r="J369" t="s">
        <v>52</v>
      </c>
      <c r="K369" t="s">
        <v>22</v>
      </c>
      <c r="L369">
        <v>5450</v>
      </c>
      <c r="M369" t="s">
        <v>32</v>
      </c>
      <c r="N369" s="1"/>
      <c r="O369" t="s">
        <v>33</v>
      </c>
      <c r="P369" t="s">
        <v>523</v>
      </c>
    </row>
    <row r="370" spans="1:16" x14ac:dyDescent="0.3">
      <c r="A370">
        <v>1036</v>
      </c>
      <c r="B370" t="s">
        <v>112</v>
      </c>
      <c r="C370" t="s">
        <v>216</v>
      </c>
      <c r="D370" t="s">
        <v>18</v>
      </c>
      <c r="E370" s="1">
        <v>34385</v>
      </c>
      <c r="F370" s="1">
        <v>42425</v>
      </c>
      <c r="G370">
        <v>60</v>
      </c>
      <c r="H370" t="s">
        <v>78</v>
      </c>
      <c r="I370" t="s">
        <v>45</v>
      </c>
      <c r="J370" t="s">
        <v>21</v>
      </c>
      <c r="K370" t="s">
        <v>22</v>
      </c>
      <c r="M370" t="s">
        <v>32</v>
      </c>
      <c r="N370" s="1"/>
      <c r="O370" t="s">
        <v>33</v>
      </c>
      <c r="P370" t="s">
        <v>524</v>
      </c>
    </row>
    <row r="371" spans="1:16" x14ac:dyDescent="0.3">
      <c r="A371">
        <v>1179</v>
      </c>
      <c r="B371" t="s">
        <v>85</v>
      </c>
      <c r="C371" t="s">
        <v>216</v>
      </c>
      <c r="D371" t="s">
        <v>18</v>
      </c>
      <c r="E371" s="1">
        <v>30066</v>
      </c>
      <c r="F371" s="1">
        <v>45074</v>
      </c>
      <c r="G371">
        <v>10</v>
      </c>
      <c r="H371" t="s">
        <v>275</v>
      </c>
      <c r="I371" t="s">
        <v>20</v>
      </c>
      <c r="J371" t="s">
        <v>21</v>
      </c>
      <c r="K371" t="s">
        <v>22</v>
      </c>
      <c r="L371">
        <v>17650</v>
      </c>
      <c r="M371" t="s">
        <v>32</v>
      </c>
      <c r="N371" s="1"/>
      <c r="O371" t="s">
        <v>33</v>
      </c>
      <c r="P371" t="s">
        <v>525</v>
      </c>
    </row>
    <row r="372" spans="1:16" x14ac:dyDescent="0.3">
      <c r="A372">
        <v>1168</v>
      </c>
      <c r="B372" t="s">
        <v>58</v>
      </c>
      <c r="C372" t="s">
        <v>36</v>
      </c>
      <c r="D372" t="s">
        <v>37</v>
      </c>
      <c r="E372" s="1">
        <v>34100</v>
      </c>
      <c r="F372" s="1">
        <v>43077</v>
      </c>
      <c r="G372">
        <v>10</v>
      </c>
      <c r="H372" t="s">
        <v>87</v>
      </c>
      <c r="I372" t="s">
        <v>45</v>
      </c>
      <c r="J372" t="s">
        <v>21</v>
      </c>
      <c r="K372" t="s">
        <v>22</v>
      </c>
      <c r="L372">
        <v>6750</v>
      </c>
      <c r="M372" t="s">
        <v>23</v>
      </c>
      <c r="N372" s="1">
        <v>44033</v>
      </c>
      <c r="O372" t="s">
        <v>33</v>
      </c>
      <c r="P372" t="s">
        <v>526</v>
      </c>
    </row>
    <row r="373" spans="1:16" x14ac:dyDescent="0.3">
      <c r="A373">
        <v>1227</v>
      </c>
      <c r="B373" t="s">
        <v>115</v>
      </c>
      <c r="C373" t="s">
        <v>194</v>
      </c>
      <c r="D373" t="s">
        <v>37</v>
      </c>
      <c r="E373" s="1">
        <v>26315</v>
      </c>
      <c r="F373" s="1">
        <v>45230</v>
      </c>
      <c r="G373">
        <v>60</v>
      </c>
      <c r="H373" t="s">
        <v>19</v>
      </c>
      <c r="I373" t="s">
        <v>20</v>
      </c>
      <c r="J373" t="s">
        <v>284</v>
      </c>
      <c r="K373" t="s">
        <v>22</v>
      </c>
      <c r="L373">
        <v>7950</v>
      </c>
      <c r="M373" t="s">
        <v>32</v>
      </c>
      <c r="N373" s="1"/>
      <c r="O373" t="s">
        <v>33</v>
      </c>
      <c r="P373" t="s">
        <v>527</v>
      </c>
    </row>
    <row r="374" spans="1:16" x14ac:dyDescent="0.3">
      <c r="A374">
        <v>1121</v>
      </c>
      <c r="B374" t="s">
        <v>134</v>
      </c>
      <c r="C374" t="s">
        <v>198</v>
      </c>
      <c r="D374" t="s">
        <v>18</v>
      </c>
      <c r="E374" s="1">
        <v>27193</v>
      </c>
      <c r="F374" s="1">
        <v>44664</v>
      </c>
      <c r="G374">
        <v>70</v>
      </c>
      <c r="H374" t="s">
        <v>116</v>
      </c>
      <c r="I374" t="s">
        <v>39</v>
      </c>
      <c r="J374" t="s">
        <v>21</v>
      </c>
      <c r="K374" t="s">
        <v>22</v>
      </c>
      <c r="L374">
        <v>9000</v>
      </c>
      <c r="M374" t="s">
        <v>32</v>
      </c>
      <c r="N374" s="1"/>
      <c r="O374" t="s">
        <v>33</v>
      </c>
      <c r="P374" t="s">
        <v>528</v>
      </c>
    </row>
    <row r="375" spans="1:16" x14ac:dyDescent="0.3">
      <c r="A375">
        <v>1276</v>
      </c>
      <c r="B375" t="s">
        <v>134</v>
      </c>
      <c r="C375" t="s">
        <v>224</v>
      </c>
      <c r="D375" t="s">
        <v>37</v>
      </c>
      <c r="E375" s="1">
        <v>31947</v>
      </c>
      <c r="F375" s="1">
        <v>42640</v>
      </c>
      <c r="G375">
        <v>10</v>
      </c>
      <c r="H375" t="s">
        <v>44</v>
      </c>
      <c r="I375" t="s">
        <v>214</v>
      </c>
      <c r="J375" t="s">
        <v>21</v>
      </c>
      <c r="K375" t="s">
        <v>22</v>
      </c>
      <c r="L375">
        <v>6800</v>
      </c>
      <c r="M375" t="s">
        <v>32</v>
      </c>
      <c r="N375" s="1"/>
      <c r="O375" t="s">
        <v>33</v>
      </c>
      <c r="P375" t="s">
        <v>529</v>
      </c>
    </row>
    <row r="376" spans="1:16" x14ac:dyDescent="0.3">
      <c r="A376">
        <v>1045</v>
      </c>
      <c r="B376" t="s">
        <v>136</v>
      </c>
      <c r="C376" t="s">
        <v>103</v>
      </c>
      <c r="D376" t="s">
        <v>37</v>
      </c>
      <c r="E376" s="1">
        <v>36228</v>
      </c>
      <c r="F376" s="1">
        <v>44607</v>
      </c>
      <c r="G376">
        <v>70</v>
      </c>
      <c r="H376" t="s">
        <v>38</v>
      </c>
      <c r="I376" t="s">
        <v>45</v>
      </c>
      <c r="J376" t="s">
        <v>31</v>
      </c>
      <c r="K376" t="s">
        <v>22</v>
      </c>
      <c r="L376">
        <v>3450</v>
      </c>
      <c r="M376" t="s">
        <v>32</v>
      </c>
      <c r="N376" s="1"/>
      <c r="O376" t="s">
        <v>33</v>
      </c>
      <c r="P376" t="s">
        <v>530</v>
      </c>
    </row>
    <row r="377" spans="1:16" x14ac:dyDescent="0.3">
      <c r="A377">
        <v>1301</v>
      </c>
      <c r="B377" t="s">
        <v>42</v>
      </c>
      <c r="C377" t="s">
        <v>90</v>
      </c>
      <c r="D377" t="s">
        <v>18</v>
      </c>
      <c r="E377" s="1">
        <v>33904</v>
      </c>
      <c r="F377" s="1">
        <v>44969</v>
      </c>
      <c r="G377">
        <v>30</v>
      </c>
      <c r="H377" t="s">
        <v>209</v>
      </c>
      <c r="I377" t="s">
        <v>39</v>
      </c>
      <c r="J377" t="s">
        <v>52</v>
      </c>
      <c r="K377" t="s">
        <v>22</v>
      </c>
      <c r="L377">
        <v>8500</v>
      </c>
      <c r="M377" t="s">
        <v>32</v>
      </c>
      <c r="N377" s="1"/>
      <c r="O377" t="s">
        <v>33</v>
      </c>
      <c r="P377" t="s">
        <v>531</v>
      </c>
    </row>
    <row r="378" spans="1:16" x14ac:dyDescent="0.3">
      <c r="A378">
        <v>1325</v>
      </c>
      <c r="B378" t="s">
        <v>188</v>
      </c>
      <c r="C378" t="s">
        <v>178</v>
      </c>
      <c r="D378" t="s">
        <v>18</v>
      </c>
      <c r="E378" s="1">
        <v>35078</v>
      </c>
      <c r="F378" s="1">
        <v>44376</v>
      </c>
      <c r="G378">
        <v>20</v>
      </c>
      <c r="H378" t="s">
        <v>68</v>
      </c>
      <c r="I378" t="s">
        <v>30</v>
      </c>
      <c r="J378" t="s">
        <v>21</v>
      </c>
      <c r="K378" t="s">
        <v>22</v>
      </c>
      <c r="L378">
        <v>5200</v>
      </c>
      <c r="M378" t="s">
        <v>32</v>
      </c>
      <c r="N378" s="1"/>
      <c r="O378" t="s">
        <v>33</v>
      </c>
      <c r="P378" t="s">
        <v>532</v>
      </c>
    </row>
    <row r="379" spans="1:16" x14ac:dyDescent="0.3">
      <c r="A379">
        <v>1077</v>
      </c>
      <c r="B379" t="s">
        <v>533</v>
      </c>
      <c r="C379" t="s">
        <v>194</v>
      </c>
      <c r="D379" t="s">
        <v>37</v>
      </c>
      <c r="E379" s="1">
        <v>34658</v>
      </c>
      <c r="F379" s="1">
        <v>43025</v>
      </c>
      <c r="G379">
        <v>30</v>
      </c>
      <c r="H379" t="s">
        <v>56</v>
      </c>
      <c r="I379" t="s">
        <v>30</v>
      </c>
      <c r="J379" t="s">
        <v>21</v>
      </c>
      <c r="K379" t="s">
        <v>22</v>
      </c>
      <c r="L379">
        <v>6700</v>
      </c>
      <c r="M379" t="s">
        <v>23</v>
      </c>
      <c r="N379" s="1">
        <v>43221</v>
      </c>
      <c r="O379" t="s">
        <v>186</v>
      </c>
      <c r="P379" t="s">
        <v>534</v>
      </c>
    </row>
    <row r="380" spans="1:16" x14ac:dyDescent="0.3">
      <c r="A380">
        <v>1209</v>
      </c>
      <c r="B380" t="s">
        <v>136</v>
      </c>
      <c r="C380" t="s">
        <v>266</v>
      </c>
      <c r="D380" t="s">
        <v>37</v>
      </c>
      <c r="E380" s="1">
        <v>29193</v>
      </c>
      <c r="F380" s="1">
        <v>45205</v>
      </c>
      <c r="G380">
        <v>60</v>
      </c>
      <c r="H380" t="s">
        <v>78</v>
      </c>
      <c r="I380" t="s">
        <v>30</v>
      </c>
      <c r="J380" t="s">
        <v>52</v>
      </c>
      <c r="K380" t="s">
        <v>22</v>
      </c>
      <c r="L380">
        <v>4450</v>
      </c>
      <c r="M380" t="s">
        <v>23</v>
      </c>
      <c r="N380" s="1">
        <v>45732</v>
      </c>
      <c r="O380" t="s">
        <v>117</v>
      </c>
      <c r="P380" t="s">
        <v>535</v>
      </c>
    </row>
    <row r="381" spans="1:16" x14ac:dyDescent="0.3">
      <c r="A381">
        <v>1369</v>
      </c>
      <c r="B381" t="s">
        <v>157</v>
      </c>
      <c r="C381" t="s">
        <v>200</v>
      </c>
      <c r="D381" t="s">
        <v>18</v>
      </c>
      <c r="E381" s="1">
        <v>37147</v>
      </c>
      <c r="F381" s="1">
        <v>45839</v>
      </c>
      <c r="G381">
        <v>20</v>
      </c>
      <c r="H381" t="s">
        <v>68</v>
      </c>
      <c r="I381" t="s">
        <v>45</v>
      </c>
      <c r="J381" t="s">
        <v>21</v>
      </c>
      <c r="K381" t="s">
        <v>22</v>
      </c>
      <c r="L381">
        <v>3350</v>
      </c>
      <c r="M381" t="s">
        <v>32</v>
      </c>
      <c r="N381" s="1"/>
      <c r="O381" t="s">
        <v>33</v>
      </c>
      <c r="P381" t="s">
        <v>536</v>
      </c>
    </row>
    <row r="382" spans="1:16" x14ac:dyDescent="0.3">
      <c r="A382">
        <v>1213</v>
      </c>
      <c r="B382" t="s">
        <v>157</v>
      </c>
      <c r="C382" t="s">
        <v>74</v>
      </c>
      <c r="D382" t="s">
        <v>18</v>
      </c>
      <c r="E382" s="1">
        <v>35601</v>
      </c>
      <c r="F382" s="1">
        <v>45668</v>
      </c>
      <c r="G382">
        <v>20</v>
      </c>
      <c r="H382" t="s">
        <v>104</v>
      </c>
      <c r="I382" t="s">
        <v>30</v>
      </c>
      <c r="J382" t="s">
        <v>21</v>
      </c>
      <c r="K382" t="s">
        <v>22</v>
      </c>
      <c r="L382">
        <v>4350</v>
      </c>
      <c r="M382" t="s">
        <v>32</v>
      </c>
      <c r="N382" s="1"/>
      <c r="O382" t="s">
        <v>33</v>
      </c>
      <c r="P382" t="s">
        <v>537</v>
      </c>
    </row>
    <row r="383" spans="1:16" x14ac:dyDescent="0.3">
      <c r="A383">
        <v>1268</v>
      </c>
      <c r="B383" t="s">
        <v>396</v>
      </c>
      <c r="C383" t="s">
        <v>59</v>
      </c>
      <c r="D383" t="s">
        <v>18</v>
      </c>
      <c r="E383" s="1">
        <v>31571</v>
      </c>
      <c r="F383" s="1">
        <v>44051</v>
      </c>
      <c r="G383">
        <v>10</v>
      </c>
      <c r="H383" t="s">
        <v>275</v>
      </c>
      <c r="I383" t="s">
        <v>20</v>
      </c>
      <c r="J383" t="s">
        <v>21</v>
      </c>
      <c r="K383" t="s">
        <v>40</v>
      </c>
      <c r="L383">
        <v>17600</v>
      </c>
      <c r="M383" t="s">
        <v>32</v>
      </c>
      <c r="N383" s="1"/>
      <c r="O383" t="s">
        <v>33</v>
      </c>
      <c r="P383" t="s">
        <v>538</v>
      </c>
    </row>
    <row r="384" spans="1:16" x14ac:dyDescent="0.3">
      <c r="A384">
        <v>1312</v>
      </c>
      <c r="B384" t="s">
        <v>147</v>
      </c>
      <c r="C384" t="s">
        <v>17</v>
      </c>
      <c r="D384" t="s">
        <v>18</v>
      </c>
      <c r="E384" s="1">
        <v>36519</v>
      </c>
      <c r="F384" s="1">
        <v>44680</v>
      </c>
      <c r="H384" t="s">
        <v>78</v>
      </c>
      <c r="I384" t="s">
        <v>30</v>
      </c>
      <c r="J384" t="s">
        <v>21</v>
      </c>
      <c r="K384" t="s">
        <v>22</v>
      </c>
      <c r="L384">
        <v>3550</v>
      </c>
      <c r="M384" t="s">
        <v>301</v>
      </c>
      <c r="N384" s="1">
        <v>45406</v>
      </c>
      <c r="O384" t="s">
        <v>117</v>
      </c>
      <c r="P384" t="s">
        <v>539</v>
      </c>
    </row>
    <row r="385" spans="1:16" x14ac:dyDescent="0.3">
      <c r="A385">
        <v>1217</v>
      </c>
      <c r="B385" t="s">
        <v>67</v>
      </c>
      <c r="C385" t="s">
        <v>81</v>
      </c>
      <c r="D385" t="s">
        <v>96</v>
      </c>
      <c r="E385" s="1">
        <v>31571</v>
      </c>
      <c r="F385" s="1">
        <v>44024</v>
      </c>
      <c r="G385">
        <v>50</v>
      </c>
      <c r="H385" t="s">
        <v>71</v>
      </c>
      <c r="I385" t="s">
        <v>30</v>
      </c>
      <c r="J385" t="s">
        <v>52</v>
      </c>
      <c r="K385" t="s">
        <v>22</v>
      </c>
      <c r="M385" t="s">
        <v>32</v>
      </c>
      <c r="N385" s="1"/>
      <c r="O385" t="s">
        <v>33</v>
      </c>
      <c r="P385" t="s">
        <v>540</v>
      </c>
    </row>
    <row r="386" spans="1:16" x14ac:dyDescent="0.3">
      <c r="A386">
        <v>1428</v>
      </c>
      <c r="B386" t="s">
        <v>35</v>
      </c>
      <c r="C386" t="s">
        <v>59</v>
      </c>
      <c r="D386" t="s">
        <v>18</v>
      </c>
      <c r="E386" s="1">
        <v>29291</v>
      </c>
      <c r="F386" s="1">
        <v>45801</v>
      </c>
      <c r="G386">
        <v>80</v>
      </c>
      <c r="H386" t="s">
        <v>159</v>
      </c>
      <c r="I386" t="s">
        <v>45</v>
      </c>
      <c r="J386" t="s">
        <v>165</v>
      </c>
      <c r="K386" t="s">
        <v>22</v>
      </c>
      <c r="L386">
        <v>4650</v>
      </c>
      <c r="M386" t="s">
        <v>32</v>
      </c>
      <c r="N386" s="1"/>
      <c r="O386" t="s">
        <v>33</v>
      </c>
      <c r="P386" t="s">
        <v>541</v>
      </c>
    </row>
    <row r="387" spans="1:16" x14ac:dyDescent="0.3">
      <c r="A387">
        <v>1010</v>
      </c>
      <c r="B387" t="s">
        <v>115</v>
      </c>
      <c r="C387" t="s">
        <v>36</v>
      </c>
      <c r="D387" t="s">
        <v>37</v>
      </c>
      <c r="E387" s="1">
        <v>29080</v>
      </c>
      <c r="F387" s="1">
        <v>44114</v>
      </c>
      <c r="G387">
        <v>70</v>
      </c>
      <c r="H387" t="s">
        <v>116</v>
      </c>
      <c r="I387" t="s">
        <v>39</v>
      </c>
      <c r="J387" t="s">
        <v>31</v>
      </c>
      <c r="K387" t="s">
        <v>22</v>
      </c>
      <c r="L387">
        <v>7550</v>
      </c>
      <c r="M387" t="s">
        <v>23</v>
      </c>
      <c r="N387" s="1">
        <v>44530</v>
      </c>
      <c r="O387" t="s">
        <v>117</v>
      </c>
      <c r="P387" t="s">
        <v>542</v>
      </c>
    </row>
    <row r="388" spans="1:16" x14ac:dyDescent="0.3">
      <c r="A388">
        <v>1398</v>
      </c>
      <c r="B388" t="s">
        <v>35</v>
      </c>
      <c r="C388" t="s">
        <v>144</v>
      </c>
      <c r="D388" t="s">
        <v>37</v>
      </c>
      <c r="E388" s="1">
        <v>36964</v>
      </c>
      <c r="F388" s="1">
        <v>45198</v>
      </c>
      <c r="G388">
        <v>60</v>
      </c>
      <c r="H388" t="s">
        <v>78</v>
      </c>
      <c r="I388" t="s">
        <v>45</v>
      </c>
      <c r="J388" t="s">
        <v>21</v>
      </c>
      <c r="K388" t="s">
        <v>22</v>
      </c>
      <c r="L388">
        <v>2900</v>
      </c>
      <c r="M388" t="s">
        <v>23</v>
      </c>
      <c r="N388" s="1">
        <v>46014</v>
      </c>
      <c r="O388" t="s">
        <v>105</v>
      </c>
      <c r="P388" t="s">
        <v>543</v>
      </c>
    </row>
    <row r="389" spans="1:16" x14ac:dyDescent="0.3">
      <c r="A389">
        <v>1416</v>
      </c>
      <c r="B389" t="s">
        <v>70</v>
      </c>
      <c r="C389" t="s">
        <v>128</v>
      </c>
      <c r="D389" t="s">
        <v>18</v>
      </c>
      <c r="E389" s="1">
        <v>34114</v>
      </c>
      <c r="F389" s="1">
        <v>43542</v>
      </c>
      <c r="G389">
        <v>10</v>
      </c>
      <c r="H389" t="s">
        <v>49</v>
      </c>
      <c r="I389" t="s">
        <v>45</v>
      </c>
      <c r="J389" t="s">
        <v>21</v>
      </c>
      <c r="K389" t="s">
        <v>22</v>
      </c>
      <c r="L389">
        <v>6100</v>
      </c>
      <c r="M389" t="s">
        <v>32</v>
      </c>
      <c r="N389" s="1"/>
      <c r="O389" t="s">
        <v>33</v>
      </c>
      <c r="P389" t="s">
        <v>544</v>
      </c>
    </row>
    <row r="390" spans="1:16" x14ac:dyDescent="0.3">
      <c r="A390">
        <v>1286</v>
      </c>
      <c r="B390" t="s">
        <v>147</v>
      </c>
      <c r="C390" t="s">
        <v>273</v>
      </c>
      <c r="D390" t="s">
        <v>18</v>
      </c>
      <c r="E390" s="1">
        <v>31375</v>
      </c>
      <c r="F390" s="1">
        <v>45079</v>
      </c>
      <c r="G390">
        <v>50</v>
      </c>
      <c r="H390" t="s">
        <v>123</v>
      </c>
      <c r="I390" t="s">
        <v>30</v>
      </c>
      <c r="J390" t="s">
        <v>264</v>
      </c>
      <c r="K390" t="s">
        <v>22</v>
      </c>
      <c r="L390">
        <v>6650</v>
      </c>
      <c r="M390" t="s">
        <v>32</v>
      </c>
      <c r="N390" s="1"/>
      <c r="O390" t="s">
        <v>33</v>
      </c>
      <c r="P390" t="s">
        <v>545</v>
      </c>
    </row>
    <row r="391" spans="1:16" x14ac:dyDescent="0.3">
      <c r="A391">
        <v>1296</v>
      </c>
      <c r="B391" t="s">
        <v>150</v>
      </c>
      <c r="C391" t="s">
        <v>546</v>
      </c>
      <c r="D391" t="s">
        <v>18</v>
      </c>
      <c r="E391" s="1">
        <v>34827</v>
      </c>
      <c r="F391" s="1">
        <v>45045</v>
      </c>
      <c r="G391">
        <v>10</v>
      </c>
      <c r="H391" t="s">
        <v>49</v>
      </c>
      <c r="I391" t="s">
        <v>30</v>
      </c>
      <c r="J391" t="s">
        <v>191</v>
      </c>
      <c r="K391" t="s">
        <v>22</v>
      </c>
      <c r="L391">
        <v>10200</v>
      </c>
      <c r="M391" t="s">
        <v>32</v>
      </c>
      <c r="N391" s="1"/>
      <c r="O391" t="s">
        <v>33</v>
      </c>
      <c r="P391" t="s">
        <v>547</v>
      </c>
    </row>
    <row r="392" spans="1:16" x14ac:dyDescent="0.3">
      <c r="A392">
        <v>1105</v>
      </c>
      <c r="B392" t="s">
        <v>157</v>
      </c>
      <c r="C392" t="s">
        <v>216</v>
      </c>
      <c r="D392" t="s">
        <v>18</v>
      </c>
      <c r="E392" s="1">
        <v>35075</v>
      </c>
      <c r="F392" s="1">
        <v>45804</v>
      </c>
      <c r="G392">
        <v>50</v>
      </c>
      <c r="H392" t="s">
        <v>123</v>
      </c>
      <c r="I392" t="s">
        <v>45</v>
      </c>
      <c r="J392" t="s">
        <v>52</v>
      </c>
      <c r="K392" t="s">
        <v>22</v>
      </c>
      <c r="L392">
        <v>5400</v>
      </c>
      <c r="M392" t="s">
        <v>32</v>
      </c>
      <c r="N392" s="1"/>
      <c r="O392" t="s">
        <v>33</v>
      </c>
      <c r="P392" t="s">
        <v>548</v>
      </c>
    </row>
    <row r="393" spans="1:16" x14ac:dyDescent="0.3">
      <c r="A393">
        <v>1313</v>
      </c>
      <c r="B393" t="s">
        <v>58</v>
      </c>
      <c r="C393" t="s">
        <v>224</v>
      </c>
      <c r="D393" t="s">
        <v>37</v>
      </c>
      <c r="E393" s="1">
        <v>30938</v>
      </c>
      <c r="F393" s="1">
        <v>45217</v>
      </c>
      <c r="G393">
        <v>10</v>
      </c>
      <c r="H393" t="s">
        <v>49</v>
      </c>
      <c r="I393" t="s">
        <v>30</v>
      </c>
      <c r="J393" t="s">
        <v>21</v>
      </c>
      <c r="K393" t="s">
        <v>22</v>
      </c>
      <c r="L393">
        <v>7800</v>
      </c>
      <c r="M393" t="s">
        <v>32</v>
      </c>
      <c r="N393" s="1"/>
      <c r="O393" t="s">
        <v>33</v>
      </c>
      <c r="P393" t="s">
        <v>549</v>
      </c>
    </row>
    <row r="394" spans="1:16" x14ac:dyDescent="0.3">
      <c r="A394">
        <v>1427</v>
      </c>
      <c r="B394" t="s">
        <v>67</v>
      </c>
      <c r="C394" t="s">
        <v>126</v>
      </c>
      <c r="D394" t="s">
        <v>37</v>
      </c>
      <c r="E394" s="1">
        <v>28446</v>
      </c>
      <c r="F394" s="1">
        <v>44106</v>
      </c>
      <c r="G394">
        <v>70</v>
      </c>
      <c r="H394" t="s">
        <v>75</v>
      </c>
      <c r="I394" t="s">
        <v>20</v>
      </c>
      <c r="J394" t="s">
        <v>31</v>
      </c>
      <c r="K394" t="s">
        <v>22</v>
      </c>
      <c r="L394">
        <v>11500</v>
      </c>
      <c r="M394" t="s">
        <v>32</v>
      </c>
      <c r="N394" s="1"/>
      <c r="O394" t="s">
        <v>33</v>
      </c>
      <c r="P394" t="s">
        <v>550</v>
      </c>
    </row>
    <row r="395" spans="1:16" x14ac:dyDescent="0.3">
      <c r="A395">
        <v>1049</v>
      </c>
      <c r="B395" t="s">
        <v>112</v>
      </c>
      <c r="C395" t="s">
        <v>273</v>
      </c>
      <c r="D395" t="s">
        <v>18</v>
      </c>
      <c r="E395" s="1">
        <v>28607</v>
      </c>
      <c r="F395" s="1">
        <v>44193</v>
      </c>
      <c r="G395">
        <v>60</v>
      </c>
      <c r="H395" t="s">
        <v>78</v>
      </c>
      <c r="I395" t="s">
        <v>39</v>
      </c>
      <c r="J395" t="s">
        <v>21</v>
      </c>
      <c r="K395" t="s">
        <v>40</v>
      </c>
      <c r="L395">
        <v>5750</v>
      </c>
      <c r="M395" t="s">
        <v>32</v>
      </c>
      <c r="N395" s="1"/>
      <c r="O395" t="s">
        <v>33</v>
      </c>
      <c r="P395" t="s">
        <v>551</v>
      </c>
    </row>
    <row r="396" spans="1:16" x14ac:dyDescent="0.3">
      <c r="A396">
        <v>1092</v>
      </c>
      <c r="B396" t="s">
        <v>73</v>
      </c>
      <c r="C396" t="s">
        <v>178</v>
      </c>
      <c r="D396" t="s">
        <v>18</v>
      </c>
      <c r="E396" s="1">
        <v>34598</v>
      </c>
      <c r="F396" s="1">
        <v>42745</v>
      </c>
      <c r="G396">
        <v>80</v>
      </c>
      <c r="H396" t="s">
        <v>159</v>
      </c>
      <c r="I396" t="s">
        <v>30</v>
      </c>
      <c r="J396" t="s">
        <v>21</v>
      </c>
      <c r="K396" t="s">
        <v>22</v>
      </c>
      <c r="L396">
        <v>8500</v>
      </c>
      <c r="M396" t="s">
        <v>32</v>
      </c>
      <c r="N396" s="1"/>
      <c r="O396" t="s">
        <v>33</v>
      </c>
      <c r="P396" t="s">
        <v>552</v>
      </c>
    </row>
    <row r="397" spans="1:16" x14ac:dyDescent="0.3">
      <c r="A397">
        <v>1183</v>
      </c>
      <c r="B397" t="s">
        <v>26</v>
      </c>
      <c r="C397" t="s">
        <v>184</v>
      </c>
      <c r="D397" t="s">
        <v>37</v>
      </c>
      <c r="E397" s="1">
        <v>34955</v>
      </c>
      <c r="F397" s="1">
        <v>43614</v>
      </c>
      <c r="G397">
        <v>70</v>
      </c>
      <c r="H397" t="s">
        <v>116</v>
      </c>
      <c r="I397" t="s">
        <v>39</v>
      </c>
      <c r="J397" t="s">
        <v>21</v>
      </c>
      <c r="K397" t="s">
        <v>22</v>
      </c>
      <c r="L397">
        <v>8150</v>
      </c>
      <c r="M397" t="s">
        <v>32</v>
      </c>
      <c r="N397" s="1"/>
      <c r="O397" t="s">
        <v>33</v>
      </c>
      <c r="P397" t="s">
        <v>553</v>
      </c>
    </row>
    <row r="398" spans="1:16" x14ac:dyDescent="0.3">
      <c r="A398">
        <v>1316</v>
      </c>
      <c r="B398" t="s">
        <v>150</v>
      </c>
      <c r="C398" t="s">
        <v>17</v>
      </c>
      <c r="D398" t="s">
        <v>18</v>
      </c>
      <c r="E398" s="1">
        <v>30043</v>
      </c>
      <c r="F398" s="1">
        <v>45643</v>
      </c>
      <c r="G398">
        <v>50</v>
      </c>
      <c r="H398" t="s">
        <v>123</v>
      </c>
      <c r="I398" t="s">
        <v>30</v>
      </c>
      <c r="J398" t="s">
        <v>52</v>
      </c>
      <c r="K398" t="s">
        <v>22</v>
      </c>
      <c r="L398">
        <v>6550</v>
      </c>
      <c r="M398" t="s">
        <v>32</v>
      </c>
      <c r="N398" s="1"/>
      <c r="O398" t="s">
        <v>33</v>
      </c>
      <c r="P398" t="s">
        <v>554</v>
      </c>
    </row>
    <row r="399" spans="1:16" x14ac:dyDescent="0.3">
      <c r="A399">
        <v>1466</v>
      </c>
      <c r="B399" t="s">
        <v>150</v>
      </c>
      <c r="C399" t="s">
        <v>330</v>
      </c>
      <c r="D399" t="s">
        <v>37</v>
      </c>
      <c r="E399" s="1">
        <v>29137</v>
      </c>
      <c r="F399" s="1">
        <v>44917</v>
      </c>
      <c r="G399">
        <v>20</v>
      </c>
      <c r="H399" t="s">
        <v>68</v>
      </c>
      <c r="I399" t="s">
        <v>30</v>
      </c>
      <c r="J399" t="s">
        <v>21</v>
      </c>
      <c r="K399" t="s">
        <v>22</v>
      </c>
      <c r="L399">
        <v>5750</v>
      </c>
      <c r="M399" t="s">
        <v>32</v>
      </c>
      <c r="N399" s="1"/>
      <c r="O399" t="s">
        <v>33</v>
      </c>
      <c r="P399" t="s">
        <v>555</v>
      </c>
    </row>
    <row r="400" spans="1:16" x14ac:dyDescent="0.3">
      <c r="A400">
        <v>1173</v>
      </c>
      <c r="B400" t="s">
        <v>64</v>
      </c>
      <c r="C400" t="s">
        <v>81</v>
      </c>
      <c r="D400" t="s">
        <v>37</v>
      </c>
      <c r="E400" s="1">
        <v>31465</v>
      </c>
      <c r="F400" s="1">
        <v>42971</v>
      </c>
      <c r="G400">
        <v>70</v>
      </c>
      <c r="H400" t="s">
        <v>116</v>
      </c>
      <c r="I400" t="s">
        <v>39</v>
      </c>
      <c r="J400" t="s">
        <v>296</v>
      </c>
      <c r="K400" t="s">
        <v>22</v>
      </c>
      <c r="L400">
        <v>8150</v>
      </c>
      <c r="M400" t="s">
        <v>32</v>
      </c>
      <c r="N400" s="1"/>
      <c r="O400" t="s">
        <v>33</v>
      </c>
      <c r="P400" t="s">
        <v>556</v>
      </c>
    </row>
    <row r="401" spans="1:16" x14ac:dyDescent="0.3">
      <c r="A401">
        <v>1233</v>
      </c>
      <c r="B401" t="s">
        <v>150</v>
      </c>
      <c r="C401" t="s">
        <v>247</v>
      </c>
      <c r="D401" t="s">
        <v>18</v>
      </c>
      <c r="E401" s="1">
        <v>32164</v>
      </c>
      <c r="F401" s="1">
        <v>44341</v>
      </c>
      <c r="G401">
        <v>30</v>
      </c>
      <c r="H401" t="s">
        <v>257</v>
      </c>
      <c r="I401" t="s">
        <v>20</v>
      </c>
      <c r="J401" t="s">
        <v>169</v>
      </c>
      <c r="K401" t="s">
        <v>22</v>
      </c>
      <c r="L401">
        <v>8950</v>
      </c>
      <c r="M401" t="s">
        <v>32</v>
      </c>
      <c r="N401" s="1"/>
      <c r="O401" t="s">
        <v>33</v>
      </c>
      <c r="P401" t="s">
        <v>557</v>
      </c>
    </row>
    <row r="402" spans="1:16" x14ac:dyDescent="0.3">
      <c r="A402">
        <v>1462</v>
      </c>
      <c r="B402" t="s">
        <v>26</v>
      </c>
      <c r="C402" t="s">
        <v>103</v>
      </c>
      <c r="D402" t="s">
        <v>37</v>
      </c>
      <c r="E402" s="1">
        <v>32086</v>
      </c>
      <c r="F402" s="1">
        <v>42743</v>
      </c>
      <c r="G402">
        <v>50</v>
      </c>
      <c r="H402" t="s">
        <v>123</v>
      </c>
      <c r="I402" t="s">
        <v>30</v>
      </c>
      <c r="J402" t="s">
        <v>284</v>
      </c>
      <c r="K402" t="s">
        <v>22</v>
      </c>
      <c r="L402">
        <v>7100</v>
      </c>
      <c r="M402" t="s">
        <v>32</v>
      </c>
      <c r="N402" s="1"/>
      <c r="O402" t="s">
        <v>33</v>
      </c>
      <c r="P402" t="s">
        <v>558</v>
      </c>
    </row>
    <row r="403" spans="1:16" x14ac:dyDescent="0.3">
      <c r="A403">
        <v>1037</v>
      </c>
      <c r="B403" t="s">
        <v>164</v>
      </c>
      <c r="C403" t="s">
        <v>163</v>
      </c>
      <c r="D403" t="s">
        <v>18</v>
      </c>
      <c r="E403" s="1">
        <v>29022</v>
      </c>
      <c r="F403" s="1">
        <v>43019</v>
      </c>
      <c r="G403">
        <v>10</v>
      </c>
      <c r="H403" t="s">
        <v>275</v>
      </c>
      <c r="I403" t="s">
        <v>20</v>
      </c>
      <c r="J403" t="s">
        <v>21</v>
      </c>
      <c r="K403" t="s">
        <v>22</v>
      </c>
      <c r="L403">
        <v>16250</v>
      </c>
      <c r="M403" t="s">
        <v>32</v>
      </c>
      <c r="N403" s="1"/>
      <c r="O403" t="s">
        <v>33</v>
      </c>
      <c r="P403" t="s">
        <v>559</v>
      </c>
    </row>
    <row r="404" spans="1:16" x14ac:dyDescent="0.3">
      <c r="A404">
        <v>1157</v>
      </c>
      <c r="B404" t="s">
        <v>112</v>
      </c>
      <c r="C404" t="s">
        <v>65</v>
      </c>
      <c r="D404" t="s">
        <v>18</v>
      </c>
      <c r="E404" s="1">
        <v>34012</v>
      </c>
      <c r="F404" s="1">
        <v>44406</v>
      </c>
      <c r="G404">
        <v>10</v>
      </c>
      <c r="H404" t="s">
        <v>108</v>
      </c>
      <c r="I404" t="s">
        <v>45</v>
      </c>
      <c r="J404" t="s">
        <v>296</v>
      </c>
      <c r="K404" t="s">
        <v>40</v>
      </c>
      <c r="L404">
        <v>5850</v>
      </c>
      <c r="M404" t="s">
        <v>32</v>
      </c>
      <c r="N404" s="1"/>
      <c r="O404" t="s">
        <v>33</v>
      </c>
      <c r="P404" t="s">
        <v>560</v>
      </c>
    </row>
    <row r="405" spans="1:16" x14ac:dyDescent="0.3">
      <c r="A405">
        <v>1003</v>
      </c>
      <c r="B405" t="s">
        <v>58</v>
      </c>
      <c r="C405" t="s">
        <v>194</v>
      </c>
      <c r="D405" t="s">
        <v>37</v>
      </c>
      <c r="E405" s="1">
        <v>33290</v>
      </c>
      <c r="F405" s="1">
        <v>44022</v>
      </c>
      <c r="G405">
        <v>10</v>
      </c>
      <c r="H405" t="s">
        <v>87</v>
      </c>
      <c r="I405" t="s">
        <v>45</v>
      </c>
      <c r="J405" t="s">
        <v>21</v>
      </c>
      <c r="K405" t="s">
        <v>22</v>
      </c>
      <c r="L405">
        <v>7650</v>
      </c>
      <c r="M405" t="s">
        <v>23</v>
      </c>
      <c r="N405" s="1">
        <v>45416</v>
      </c>
      <c r="O405" t="s">
        <v>117</v>
      </c>
      <c r="P405" t="s">
        <v>561</v>
      </c>
    </row>
    <row r="406" spans="1:16" x14ac:dyDescent="0.3">
      <c r="A406">
        <v>1243</v>
      </c>
      <c r="B406" t="s">
        <v>136</v>
      </c>
      <c r="C406" t="s">
        <v>151</v>
      </c>
      <c r="D406" t="s">
        <v>28</v>
      </c>
      <c r="E406" s="1">
        <v>31426</v>
      </c>
      <c r="F406" s="1">
        <v>45439</v>
      </c>
      <c r="G406">
        <v>20</v>
      </c>
      <c r="H406" t="s">
        <v>104</v>
      </c>
      <c r="I406" t="s">
        <v>30</v>
      </c>
      <c r="J406" t="s">
        <v>21</v>
      </c>
      <c r="K406" t="s">
        <v>22</v>
      </c>
      <c r="L406">
        <v>5350</v>
      </c>
      <c r="M406" t="s">
        <v>32</v>
      </c>
      <c r="N406" s="1"/>
      <c r="O406" t="s">
        <v>33</v>
      </c>
      <c r="P406" t="s">
        <v>562</v>
      </c>
    </row>
    <row r="407" spans="1:16" x14ac:dyDescent="0.3">
      <c r="A407">
        <v>1309</v>
      </c>
      <c r="B407" t="s">
        <v>92</v>
      </c>
      <c r="C407" t="s">
        <v>144</v>
      </c>
      <c r="D407" t="s">
        <v>37</v>
      </c>
      <c r="E407" s="1">
        <v>29816</v>
      </c>
      <c r="F407" s="1">
        <v>42927</v>
      </c>
      <c r="G407">
        <v>10</v>
      </c>
      <c r="H407" t="s">
        <v>108</v>
      </c>
      <c r="I407" t="s">
        <v>30</v>
      </c>
      <c r="J407" t="s">
        <v>21</v>
      </c>
      <c r="K407" t="s">
        <v>22</v>
      </c>
      <c r="L407">
        <v>9850</v>
      </c>
      <c r="M407" t="s">
        <v>32</v>
      </c>
      <c r="N407" s="1"/>
      <c r="O407" t="s">
        <v>33</v>
      </c>
      <c r="P407" t="s">
        <v>563</v>
      </c>
    </row>
    <row r="408" spans="1:16" x14ac:dyDescent="0.3">
      <c r="A408">
        <v>1290</v>
      </c>
      <c r="B408" t="s">
        <v>89</v>
      </c>
      <c r="C408" t="s">
        <v>216</v>
      </c>
      <c r="D408" t="s">
        <v>18</v>
      </c>
      <c r="E408" s="1">
        <v>32589</v>
      </c>
      <c r="F408" s="1">
        <v>43164</v>
      </c>
      <c r="G408">
        <v>40</v>
      </c>
      <c r="H408" t="s">
        <v>120</v>
      </c>
      <c r="I408" t="s">
        <v>39</v>
      </c>
      <c r="J408" t="s">
        <v>21</v>
      </c>
      <c r="K408" t="s">
        <v>22</v>
      </c>
      <c r="L408">
        <v>7950</v>
      </c>
      <c r="M408" t="s">
        <v>32</v>
      </c>
      <c r="N408" s="1"/>
      <c r="O408" t="s">
        <v>33</v>
      </c>
      <c r="P408" t="s">
        <v>357</v>
      </c>
    </row>
    <row r="409" spans="1:16" x14ac:dyDescent="0.3">
      <c r="A409">
        <v>1049</v>
      </c>
      <c r="B409" t="s">
        <v>112</v>
      </c>
      <c r="C409" t="s">
        <v>273</v>
      </c>
      <c r="D409" t="s">
        <v>18</v>
      </c>
      <c r="E409" s="1">
        <v>28607</v>
      </c>
      <c r="F409" s="1">
        <v>44193</v>
      </c>
      <c r="G409">
        <v>60</v>
      </c>
      <c r="H409" t="s">
        <v>78</v>
      </c>
      <c r="I409" t="s">
        <v>39</v>
      </c>
      <c r="J409" t="s">
        <v>21</v>
      </c>
      <c r="K409" t="s">
        <v>40</v>
      </c>
      <c r="L409">
        <v>5750</v>
      </c>
      <c r="M409" t="s">
        <v>32</v>
      </c>
      <c r="N409" s="1"/>
      <c r="O409" t="s">
        <v>33</v>
      </c>
      <c r="P409" t="s">
        <v>551</v>
      </c>
    </row>
    <row r="410" spans="1:16" x14ac:dyDescent="0.3">
      <c r="A410">
        <v>1142</v>
      </c>
      <c r="B410" t="s">
        <v>64</v>
      </c>
      <c r="C410" t="s">
        <v>216</v>
      </c>
      <c r="D410" t="s">
        <v>18</v>
      </c>
      <c r="E410" s="1">
        <v>36134</v>
      </c>
      <c r="F410" s="1">
        <v>44418</v>
      </c>
      <c r="G410">
        <v>20</v>
      </c>
      <c r="H410" t="s">
        <v>68</v>
      </c>
      <c r="I410" t="s">
        <v>45</v>
      </c>
      <c r="J410" t="s">
        <v>21</v>
      </c>
      <c r="K410" t="s">
        <v>40</v>
      </c>
      <c r="M410" t="s">
        <v>23</v>
      </c>
      <c r="N410" s="1">
        <v>45874</v>
      </c>
      <c r="O410" t="s">
        <v>105</v>
      </c>
      <c r="P410" t="s">
        <v>564</v>
      </c>
    </row>
    <row r="411" spans="1:16" x14ac:dyDescent="0.3">
      <c r="A411">
        <v>1224</v>
      </c>
      <c r="B411" t="s">
        <v>89</v>
      </c>
      <c r="C411" t="s">
        <v>273</v>
      </c>
      <c r="D411" t="s">
        <v>18</v>
      </c>
      <c r="E411" s="1">
        <v>31606</v>
      </c>
      <c r="F411" s="1">
        <v>44842</v>
      </c>
      <c r="G411">
        <v>70</v>
      </c>
      <c r="H411" t="s">
        <v>116</v>
      </c>
      <c r="I411" t="s">
        <v>30</v>
      </c>
      <c r="J411" t="s">
        <v>31</v>
      </c>
      <c r="K411" t="s">
        <v>22</v>
      </c>
      <c r="L411">
        <v>4600</v>
      </c>
      <c r="M411" t="s">
        <v>32</v>
      </c>
      <c r="N411" s="1"/>
      <c r="O411" t="s">
        <v>33</v>
      </c>
      <c r="P411" t="s">
        <v>565</v>
      </c>
    </row>
    <row r="412" spans="1:16" x14ac:dyDescent="0.3">
      <c r="A412">
        <v>1353</v>
      </c>
      <c r="B412" t="s">
        <v>125</v>
      </c>
      <c r="C412" t="s">
        <v>17</v>
      </c>
      <c r="D412" t="s">
        <v>18</v>
      </c>
      <c r="E412" s="1">
        <v>28315</v>
      </c>
      <c r="F412" s="1">
        <v>45409</v>
      </c>
      <c r="G412">
        <v>70</v>
      </c>
      <c r="H412" t="s">
        <v>116</v>
      </c>
      <c r="I412" t="s">
        <v>30</v>
      </c>
      <c r="J412" t="s">
        <v>21</v>
      </c>
      <c r="K412" t="s">
        <v>22</v>
      </c>
      <c r="L412">
        <v>4150</v>
      </c>
      <c r="M412" t="s">
        <v>32</v>
      </c>
      <c r="N412" s="1"/>
      <c r="O412" t="s">
        <v>33</v>
      </c>
      <c r="P412" t="s">
        <v>566</v>
      </c>
    </row>
    <row r="413" spans="1:16" x14ac:dyDescent="0.3">
      <c r="A413">
        <v>1184</v>
      </c>
      <c r="B413" t="s">
        <v>125</v>
      </c>
      <c r="C413" t="s">
        <v>200</v>
      </c>
      <c r="D413" t="s">
        <v>18</v>
      </c>
      <c r="E413" s="1">
        <v>28350</v>
      </c>
      <c r="F413" s="1">
        <v>45447</v>
      </c>
      <c r="G413">
        <v>60</v>
      </c>
      <c r="H413" t="s">
        <v>78</v>
      </c>
      <c r="I413" t="s">
        <v>30</v>
      </c>
      <c r="J413" t="s">
        <v>21</v>
      </c>
      <c r="K413" t="s">
        <v>22</v>
      </c>
      <c r="L413">
        <v>3750</v>
      </c>
      <c r="M413" t="s">
        <v>32</v>
      </c>
      <c r="N413" s="1"/>
      <c r="O413" t="s">
        <v>33</v>
      </c>
      <c r="P413" t="s">
        <v>567</v>
      </c>
    </row>
    <row r="414" spans="1:16" x14ac:dyDescent="0.3">
      <c r="A414">
        <v>1332</v>
      </c>
      <c r="B414" t="s">
        <v>64</v>
      </c>
      <c r="C414" t="s">
        <v>107</v>
      </c>
      <c r="D414" t="s">
        <v>37</v>
      </c>
      <c r="E414" s="1">
        <v>30268</v>
      </c>
      <c r="F414" s="1">
        <v>42727</v>
      </c>
      <c r="G414">
        <v>10</v>
      </c>
      <c r="H414" t="s">
        <v>49</v>
      </c>
      <c r="I414" t="s">
        <v>39</v>
      </c>
      <c r="J414" t="s">
        <v>21</v>
      </c>
      <c r="K414" t="s">
        <v>22</v>
      </c>
      <c r="L414">
        <v>13400</v>
      </c>
      <c r="M414" t="s">
        <v>32</v>
      </c>
      <c r="N414" s="1"/>
      <c r="O414" t="s">
        <v>33</v>
      </c>
      <c r="P414" t="s">
        <v>568</v>
      </c>
    </row>
    <row r="415" spans="1:16" x14ac:dyDescent="0.3">
      <c r="A415">
        <v>1435</v>
      </c>
      <c r="B415" t="s">
        <v>94</v>
      </c>
      <c r="C415" t="s">
        <v>81</v>
      </c>
      <c r="D415" t="s">
        <v>28</v>
      </c>
      <c r="E415" s="1">
        <v>34973</v>
      </c>
      <c r="F415" s="1">
        <v>43884</v>
      </c>
      <c r="G415">
        <v>80</v>
      </c>
      <c r="H415" t="s">
        <v>159</v>
      </c>
      <c r="I415" t="s">
        <v>39</v>
      </c>
      <c r="J415" t="s">
        <v>21</v>
      </c>
      <c r="K415" t="s">
        <v>22</v>
      </c>
      <c r="L415">
        <v>11750</v>
      </c>
      <c r="M415" t="s">
        <v>32</v>
      </c>
      <c r="N415" s="1"/>
      <c r="O415" t="s">
        <v>33</v>
      </c>
      <c r="P415" t="s">
        <v>569</v>
      </c>
    </row>
    <row r="416" spans="1:16" x14ac:dyDescent="0.3">
      <c r="A416">
        <v>1418</v>
      </c>
      <c r="B416" t="s">
        <v>58</v>
      </c>
      <c r="C416" t="s">
        <v>65</v>
      </c>
      <c r="D416" t="s">
        <v>18</v>
      </c>
      <c r="E416" s="1">
        <v>36278</v>
      </c>
      <c r="F416" s="1">
        <v>44456</v>
      </c>
      <c r="G416">
        <v>20</v>
      </c>
      <c r="H416" t="s">
        <v>104</v>
      </c>
      <c r="I416" t="s">
        <v>30</v>
      </c>
      <c r="J416" t="s">
        <v>21</v>
      </c>
      <c r="K416" t="s">
        <v>22</v>
      </c>
      <c r="L416">
        <v>4750</v>
      </c>
      <c r="M416" t="s">
        <v>23</v>
      </c>
      <c r="N416" s="1">
        <v>46009</v>
      </c>
      <c r="O416" t="s">
        <v>62</v>
      </c>
      <c r="P416" t="s">
        <v>570</v>
      </c>
    </row>
    <row r="417" spans="1:16" x14ac:dyDescent="0.3">
      <c r="A417">
        <v>1161</v>
      </c>
      <c r="B417" t="s">
        <v>147</v>
      </c>
      <c r="C417" t="s">
        <v>27</v>
      </c>
      <c r="D417" t="s">
        <v>37</v>
      </c>
      <c r="E417" s="1">
        <v>32457</v>
      </c>
      <c r="F417" s="1">
        <v>44745</v>
      </c>
      <c r="G417">
        <v>10</v>
      </c>
      <c r="H417" t="s">
        <v>49</v>
      </c>
      <c r="I417" t="s">
        <v>45</v>
      </c>
      <c r="J417" t="s">
        <v>165</v>
      </c>
      <c r="K417" t="s">
        <v>22</v>
      </c>
      <c r="L417">
        <v>5750</v>
      </c>
      <c r="M417" t="s">
        <v>32</v>
      </c>
      <c r="N417" s="1"/>
      <c r="O417" t="s">
        <v>33</v>
      </c>
      <c r="P417" t="s">
        <v>571</v>
      </c>
    </row>
    <row r="418" spans="1:16" x14ac:dyDescent="0.3">
      <c r="A418">
        <v>1337</v>
      </c>
      <c r="B418" t="s">
        <v>188</v>
      </c>
      <c r="C418" t="s">
        <v>273</v>
      </c>
      <c r="D418" t="s">
        <v>18</v>
      </c>
      <c r="E418" s="1">
        <v>33769</v>
      </c>
      <c r="F418" s="1">
        <v>43254</v>
      </c>
      <c r="G418">
        <v>30</v>
      </c>
      <c r="H418" t="s">
        <v>56</v>
      </c>
      <c r="I418" t="s">
        <v>30</v>
      </c>
      <c r="J418" t="s">
        <v>46</v>
      </c>
      <c r="K418" t="s">
        <v>22</v>
      </c>
      <c r="L418">
        <v>6150</v>
      </c>
      <c r="M418" t="s">
        <v>23</v>
      </c>
      <c r="N418" s="1">
        <v>44613</v>
      </c>
      <c r="O418" t="s">
        <v>24</v>
      </c>
      <c r="P418" t="s">
        <v>572</v>
      </c>
    </row>
    <row r="419" spans="1:16" x14ac:dyDescent="0.3">
      <c r="A419">
        <v>1401</v>
      </c>
      <c r="B419" t="s">
        <v>424</v>
      </c>
      <c r="C419" t="s">
        <v>98</v>
      </c>
      <c r="D419" t="s">
        <v>37</v>
      </c>
      <c r="E419" s="1">
        <v>30504</v>
      </c>
      <c r="F419" s="1">
        <v>44696</v>
      </c>
      <c r="G419">
        <v>60</v>
      </c>
      <c r="H419" t="s">
        <v>78</v>
      </c>
      <c r="I419" t="s">
        <v>30</v>
      </c>
      <c r="J419" t="s">
        <v>52</v>
      </c>
      <c r="K419" t="s">
        <v>22</v>
      </c>
      <c r="L419">
        <v>3650</v>
      </c>
      <c r="M419" t="s">
        <v>32</v>
      </c>
      <c r="N419" s="1"/>
      <c r="O419" t="s">
        <v>33</v>
      </c>
      <c r="P419" t="s">
        <v>573</v>
      </c>
    </row>
    <row r="420" spans="1:16" x14ac:dyDescent="0.3">
      <c r="A420">
        <v>1220</v>
      </c>
      <c r="B420" t="s">
        <v>58</v>
      </c>
      <c r="C420" t="s">
        <v>247</v>
      </c>
      <c r="D420" t="s">
        <v>18</v>
      </c>
      <c r="E420" s="1">
        <v>28587</v>
      </c>
      <c r="F420" s="1">
        <v>44167</v>
      </c>
      <c r="G420">
        <v>60</v>
      </c>
      <c r="H420" t="s">
        <v>29</v>
      </c>
      <c r="I420" t="s">
        <v>30</v>
      </c>
      <c r="J420" t="s">
        <v>31</v>
      </c>
      <c r="K420" t="s">
        <v>22</v>
      </c>
      <c r="L420">
        <v>3850</v>
      </c>
      <c r="M420" t="s">
        <v>23</v>
      </c>
      <c r="N420" s="1">
        <v>44844</v>
      </c>
      <c r="O420" t="s">
        <v>152</v>
      </c>
      <c r="P420" t="s">
        <v>574</v>
      </c>
    </row>
    <row r="421" spans="1:16" x14ac:dyDescent="0.3">
      <c r="A421">
        <v>1100</v>
      </c>
      <c r="B421" t="s">
        <v>134</v>
      </c>
      <c r="C421" t="s">
        <v>36</v>
      </c>
      <c r="D421" t="s">
        <v>37</v>
      </c>
      <c r="E421" s="1">
        <v>35674</v>
      </c>
      <c r="F421" s="1">
        <v>44443</v>
      </c>
      <c r="G421">
        <v>10</v>
      </c>
      <c r="H421" t="s">
        <v>87</v>
      </c>
      <c r="I421" t="s">
        <v>45</v>
      </c>
      <c r="J421" t="s">
        <v>21</v>
      </c>
      <c r="K421" t="s">
        <v>22</v>
      </c>
      <c r="L421">
        <v>5650</v>
      </c>
      <c r="M421" t="s">
        <v>32</v>
      </c>
      <c r="N421" s="1"/>
      <c r="O421" t="s">
        <v>33</v>
      </c>
      <c r="P421" t="s">
        <v>226</v>
      </c>
    </row>
    <row r="422" spans="1:16" x14ac:dyDescent="0.3">
      <c r="A422">
        <v>1381</v>
      </c>
      <c r="B422" t="s">
        <v>125</v>
      </c>
      <c r="C422" t="s">
        <v>216</v>
      </c>
      <c r="D422" t="s">
        <v>18</v>
      </c>
      <c r="E422" s="1">
        <v>30444</v>
      </c>
      <c r="F422" s="1">
        <v>43943</v>
      </c>
      <c r="G422">
        <v>80</v>
      </c>
      <c r="H422" t="s">
        <v>159</v>
      </c>
      <c r="I422" t="s">
        <v>45</v>
      </c>
      <c r="J422" t="s">
        <v>191</v>
      </c>
      <c r="K422" t="s">
        <v>40</v>
      </c>
      <c r="L422">
        <v>5900</v>
      </c>
      <c r="M422" t="s">
        <v>32</v>
      </c>
      <c r="N422" s="1"/>
      <c r="O422" t="s">
        <v>33</v>
      </c>
      <c r="P422" t="s">
        <v>575</v>
      </c>
    </row>
    <row r="423" spans="1:16" x14ac:dyDescent="0.3">
      <c r="A423">
        <v>1236</v>
      </c>
      <c r="B423" t="s">
        <v>396</v>
      </c>
      <c r="C423" t="s">
        <v>184</v>
      </c>
      <c r="D423" t="s">
        <v>37</v>
      </c>
      <c r="E423" s="1">
        <v>34320</v>
      </c>
      <c r="F423" s="1">
        <v>43712</v>
      </c>
      <c r="G423">
        <v>80</v>
      </c>
      <c r="H423" t="s">
        <v>159</v>
      </c>
      <c r="I423" t="s">
        <v>219</v>
      </c>
      <c r="J423" t="s">
        <v>21</v>
      </c>
      <c r="K423" t="s">
        <v>22</v>
      </c>
      <c r="L423">
        <v>8600</v>
      </c>
      <c r="M423" t="s">
        <v>32</v>
      </c>
      <c r="N423" s="1"/>
      <c r="O423" t="s">
        <v>33</v>
      </c>
      <c r="P423" t="s">
        <v>576</v>
      </c>
    </row>
    <row r="424" spans="1:16" x14ac:dyDescent="0.3">
      <c r="A424">
        <v>1439</v>
      </c>
      <c r="B424" t="s">
        <v>54</v>
      </c>
      <c r="C424" t="s">
        <v>140</v>
      </c>
      <c r="D424" t="s">
        <v>37</v>
      </c>
      <c r="E424" s="1">
        <v>34392</v>
      </c>
      <c r="F424" s="1">
        <v>43552</v>
      </c>
      <c r="G424">
        <v>60</v>
      </c>
      <c r="H424" t="s">
        <v>29</v>
      </c>
      <c r="I424" t="s">
        <v>30</v>
      </c>
      <c r="J424" t="s">
        <v>52</v>
      </c>
      <c r="K424" t="s">
        <v>40</v>
      </c>
      <c r="L424">
        <v>4350</v>
      </c>
      <c r="M424" t="s">
        <v>23</v>
      </c>
      <c r="N424" s="1">
        <v>45837</v>
      </c>
      <c r="O424" t="s">
        <v>24</v>
      </c>
      <c r="P424" t="s">
        <v>577</v>
      </c>
    </row>
    <row r="425" spans="1:16" x14ac:dyDescent="0.3">
      <c r="A425">
        <v>1118</v>
      </c>
      <c r="B425" t="s">
        <v>188</v>
      </c>
      <c r="C425" t="s">
        <v>90</v>
      </c>
      <c r="D425" t="s">
        <v>18</v>
      </c>
      <c r="E425" s="1">
        <v>34573</v>
      </c>
      <c r="F425" s="1">
        <v>43811</v>
      </c>
      <c r="G425">
        <v>10</v>
      </c>
      <c r="H425" t="s">
        <v>44</v>
      </c>
      <c r="I425" t="s">
        <v>45</v>
      </c>
      <c r="J425" t="s">
        <v>21</v>
      </c>
      <c r="K425" t="s">
        <v>22</v>
      </c>
      <c r="L425">
        <v>6150</v>
      </c>
      <c r="M425" t="s">
        <v>32</v>
      </c>
      <c r="N425" s="1"/>
      <c r="O425" t="s">
        <v>33</v>
      </c>
      <c r="P425" t="s">
        <v>578</v>
      </c>
    </row>
    <row r="426" spans="1:16" x14ac:dyDescent="0.3">
      <c r="A426">
        <v>1342</v>
      </c>
      <c r="B426" t="s">
        <v>115</v>
      </c>
      <c r="C426" t="s">
        <v>128</v>
      </c>
      <c r="D426" t="s">
        <v>18</v>
      </c>
      <c r="E426" s="1">
        <v>32910</v>
      </c>
      <c r="F426" s="1">
        <v>44352</v>
      </c>
      <c r="G426">
        <v>30</v>
      </c>
      <c r="H426" t="s">
        <v>209</v>
      </c>
      <c r="I426" t="s">
        <v>45</v>
      </c>
      <c r="J426" t="s">
        <v>46</v>
      </c>
      <c r="K426" t="s">
        <v>22</v>
      </c>
      <c r="L426">
        <v>3800</v>
      </c>
      <c r="M426" t="s">
        <v>301</v>
      </c>
      <c r="N426" s="1">
        <v>45622</v>
      </c>
      <c r="O426" t="s">
        <v>105</v>
      </c>
      <c r="P426" t="s">
        <v>579</v>
      </c>
    </row>
    <row r="427" spans="1:16" x14ac:dyDescent="0.3">
      <c r="A427">
        <v>1002</v>
      </c>
      <c r="B427" t="s">
        <v>64</v>
      </c>
      <c r="C427" t="s">
        <v>158</v>
      </c>
      <c r="D427" t="s">
        <v>37</v>
      </c>
      <c r="E427" s="1">
        <v>34746</v>
      </c>
      <c r="F427" s="1">
        <v>43964</v>
      </c>
      <c r="G427">
        <v>70</v>
      </c>
      <c r="H427" t="s">
        <v>38</v>
      </c>
      <c r="I427" t="s">
        <v>30</v>
      </c>
      <c r="J427" t="s">
        <v>46</v>
      </c>
      <c r="K427" t="s">
        <v>22</v>
      </c>
      <c r="L427">
        <v>4700</v>
      </c>
      <c r="M427" t="s">
        <v>32</v>
      </c>
      <c r="N427" s="1"/>
      <c r="O427" t="s">
        <v>33</v>
      </c>
      <c r="P427" t="s">
        <v>580</v>
      </c>
    </row>
    <row r="428" spans="1:16" x14ac:dyDescent="0.3">
      <c r="A428">
        <v>1114</v>
      </c>
      <c r="B428" t="s">
        <v>42</v>
      </c>
      <c r="C428" t="s">
        <v>213</v>
      </c>
      <c r="D428" t="s">
        <v>18</v>
      </c>
      <c r="E428" s="1">
        <v>32558</v>
      </c>
      <c r="F428" s="1">
        <v>43382</v>
      </c>
      <c r="G428">
        <v>10</v>
      </c>
      <c r="H428" t="s">
        <v>275</v>
      </c>
      <c r="I428" t="s">
        <v>20</v>
      </c>
      <c r="J428" t="s">
        <v>31</v>
      </c>
      <c r="K428" t="s">
        <v>22</v>
      </c>
      <c r="L428">
        <v>18200</v>
      </c>
      <c r="M428" t="s">
        <v>32</v>
      </c>
      <c r="N428" s="1"/>
      <c r="O428" t="s">
        <v>33</v>
      </c>
      <c r="P428" t="s">
        <v>581</v>
      </c>
    </row>
    <row r="429" spans="1:16" x14ac:dyDescent="0.3">
      <c r="A429">
        <v>1451</v>
      </c>
      <c r="B429" t="s">
        <v>582</v>
      </c>
      <c r="C429" t="s">
        <v>163</v>
      </c>
      <c r="D429" t="s">
        <v>18</v>
      </c>
      <c r="E429" s="1">
        <v>34008</v>
      </c>
      <c r="F429" s="1">
        <v>43548</v>
      </c>
      <c r="G429">
        <v>20</v>
      </c>
      <c r="H429" t="s">
        <v>68</v>
      </c>
      <c r="I429" t="s">
        <v>30</v>
      </c>
      <c r="J429" t="s">
        <v>21</v>
      </c>
      <c r="K429" t="s">
        <v>22</v>
      </c>
      <c r="L429">
        <v>6550</v>
      </c>
      <c r="M429" t="s">
        <v>32</v>
      </c>
      <c r="N429" s="1"/>
      <c r="O429" t="s">
        <v>33</v>
      </c>
      <c r="P429" t="s">
        <v>583</v>
      </c>
    </row>
    <row r="430" spans="1:16" x14ac:dyDescent="0.3">
      <c r="A430">
        <v>1175</v>
      </c>
      <c r="B430" t="s">
        <v>115</v>
      </c>
      <c r="C430" t="s">
        <v>128</v>
      </c>
      <c r="D430" t="s">
        <v>18</v>
      </c>
      <c r="E430" s="1">
        <v>28922</v>
      </c>
      <c r="F430" s="1">
        <v>42540</v>
      </c>
      <c r="G430">
        <v>30</v>
      </c>
      <c r="H430" t="s">
        <v>56</v>
      </c>
      <c r="I430" t="s">
        <v>30</v>
      </c>
      <c r="J430" t="s">
        <v>46</v>
      </c>
      <c r="K430" t="s">
        <v>22</v>
      </c>
      <c r="L430">
        <v>5950</v>
      </c>
      <c r="M430" t="s">
        <v>32</v>
      </c>
      <c r="N430" s="1"/>
      <c r="O430" t="s">
        <v>33</v>
      </c>
      <c r="P430" t="s">
        <v>584</v>
      </c>
    </row>
    <row r="431" spans="1:16" x14ac:dyDescent="0.3">
      <c r="A431">
        <v>1254</v>
      </c>
      <c r="B431" t="s">
        <v>58</v>
      </c>
      <c r="C431" t="s">
        <v>131</v>
      </c>
      <c r="D431" t="s">
        <v>18</v>
      </c>
      <c r="E431" s="1">
        <v>33031</v>
      </c>
      <c r="F431" s="1">
        <v>44808</v>
      </c>
      <c r="G431">
        <v>10</v>
      </c>
      <c r="H431" t="s">
        <v>275</v>
      </c>
      <c r="I431" t="s">
        <v>20</v>
      </c>
      <c r="J431" t="s">
        <v>21</v>
      </c>
      <c r="K431" t="s">
        <v>22</v>
      </c>
      <c r="L431">
        <v>15450</v>
      </c>
      <c r="M431" t="s">
        <v>32</v>
      </c>
      <c r="N431" s="1"/>
      <c r="O431" t="s">
        <v>33</v>
      </c>
      <c r="P431" t="s">
        <v>585</v>
      </c>
    </row>
    <row r="432" spans="1:16" x14ac:dyDescent="0.3">
      <c r="A432">
        <v>1433</v>
      </c>
      <c r="B432" t="s">
        <v>204</v>
      </c>
      <c r="C432" t="s">
        <v>216</v>
      </c>
      <c r="D432" t="s">
        <v>18</v>
      </c>
      <c r="E432" s="1">
        <v>32832</v>
      </c>
      <c r="F432" s="1">
        <v>43572</v>
      </c>
      <c r="G432">
        <v>20</v>
      </c>
      <c r="H432" t="s">
        <v>104</v>
      </c>
      <c r="I432" t="s">
        <v>45</v>
      </c>
      <c r="J432" t="s">
        <v>21</v>
      </c>
      <c r="K432" t="s">
        <v>22</v>
      </c>
      <c r="L432">
        <v>0</v>
      </c>
      <c r="M432" t="s">
        <v>23</v>
      </c>
      <c r="N432" s="1">
        <v>45036</v>
      </c>
      <c r="O432" t="s">
        <v>186</v>
      </c>
      <c r="P432" t="s">
        <v>586</v>
      </c>
    </row>
    <row r="433" spans="1:16" x14ac:dyDescent="0.3">
      <c r="A433">
        <v>1185</v>
      </c>
      <c r="B433" t="s">
        <v>70</v>
      </c>
      <c r="C433" t="s">
        <v>119</v>
      </c>
      <c r="D433" t="s">
        <v>18</v>
      </c>
      <c r="E433" s="1">
        <v>31873</v>
      </c>
      <c r="F433" s="1">
        <v>44864</v>
      </c>
      <c r="G433">
        <v>10</v>
      </c>
      <c r="H433" t="s">
        <v>44</v>
      </c>
      <c r="I433" t="s">
        <v>45</v>
      </c>
      <c r="J433" t="s">
        <v>284</v>
      </c>
      <c r="K433" t="s">
        <v>22</v>
      </c>
      <c r="L433">
        <v>5450</v>
      </c>
      <c r="M433" t="s">
        <v>32</v>
      </c>
      <c r="N433" s="1"/>
      <c r="O433" t="s">
        <v>33</v>
      </c>
      <c r="P433" t="s">
        <v>587</v>
      </c>
    </row>
    <row r="434" spans="1:16" x14ac:dyDescent="0.3">
      <c r="A434">
        <v>1166</v>
      </c>
      <c r="B434" t="s">
        <v>70</v>
      </c>
      <c r="C434" t="s">
        <v>140</v>
      </c>
      <c r="D434" t="s">
        <v>37</v>
      </c>
      <c r="E434" s="1">
        <v>32156</v>
      </c>
      <c r="F434" s="1">
        <v>44184</v>
      </c>
      <c r="G434">
        <v>30</v>
      </c>
      <c r="H434" t="s">
        <v>56</v>
      </c>
      <c r="I434" t="s">
        <v>39</v>
      </c>
      <c r="J434" t="s">
        <v>46</v>
      </c>
      <c r="K434" t="s">
        <v>22</v>
      </c>
      <c r="L434">
        <v>10250</v>
      </c>
      <c r="M434" t="s">
        <v>32</v>
      </c>
      <c r="N434" s="1"/>
      <c r="O434" t="s">
        <v>33</v>
      </c>
      <c r="P434" t="s">
        <v>588</v>
      </c>
    </row>
    <row r="435" spans="1:16" x14ac:dyDescent="0.3">
      <c r="A435">
        <v>1373</v>
      </c>
      <c r="B435" t="s">
        <v>115</v>
      </c>
      <c r="C435" t="s">
        <v>113</v>
      </c>
      <c r="D435" t="s">
        <v>37</v>
      </c>
      <c r="E435" s="1">
        <v>34868</v>
      </c>
      <c r="F435" s="1">
        <v>42414</v>
      </c>
      <c r="G435">
        <v>10</v>
      </c>
      <c r="H435" t="s">
        <v>108</v>
      </c>
      <c r="I435" t="s">
        <v>45</v>
      </c>
      <c r="J435" t="s">
        <v>46</v>
      </c>
      <c r="K435" t="s">
        <v>22</v>
      </c>
      <c r="L435">
        <v>6000</v>
      </c>
      <c r="M435" t="s">
        <v>23</v>
      </c>
      <c r="N435" s="1">
        <v>45029</v>
      </c>
      <c r="O435" t="s">
        <v>152</v>
      </c>
      <c r="P435" t="s">
        <v>589</v>
      </c>
    </row>
    <row r="436" spans="1:16" x14ac:dyDescent="0.3">
      <c r="A436">
        <v>1275</v>
      </c>
      <c r="B436" t="s">
        <v>94</v>
      </c>
      <c r="C436" t="s">
        <v>198</v>
      </c>
      <c r="D436" t="s">
        <v>18</v>
      </c>
      <c r="E436" s="1">
        <v>28474</v>
      </c>
      <c r="F436" s="1">
        <v>44795</v>
      </c>
      <c r="G436">
        <v>10</v>
      </c>
      <c r="H436" t="s">
        <v>44</v>
      </c>
      <c r="I436" t="s">
        <v>30</v>
      </c>
      <c r="J436" t="s">
        <v>21</v>
      </c>
      <c r="K436" t="s">
        <v>40</v>
      </c>
      <c r="L436">
        <v>8600</v>
      </c>
      <c r="M436" t="s">
        <v>32</v>
      </c>
      <c r="N436" s="1"/>
      <c r="O436" t="s">
        <v>33</v>
      </c>
      <c r="P436" t="s">
        <v>590</v>
      </c>
    </row>
    <row r="437" spans="1:16" x14ac:dyDescent="0.3">
      <c r="A437">
        <v>1193</v>
      </c>
      <c r="B437" t="s">
        <v>115</v>
      </c>
      <c r="C437" t="s">
        <v>98</v>
      </c>
      <c r="D437" t="s">
        <v>37</v>
      </c>
      <c r="E437" s="1">
        <v>33394</v>
      </c>
      <c r="F437" s="1">
        <v>42716</v>
      </c>
      <c r="G437">
        <v>60</v>
      </c>
      <c r="H437" t="s">
        <v>29</v>
      </c>
      <c r="I437" t="s">
        <v>39</v>
      </c>
      <c r="J437" t="s">
        <v>52</v>
      </c>
      <c r="K437" t="s">
        <v>22</v>
      </c>
      <c r="L437">
        <v>6050</v>
      </c>
      <c r="M437" t="s">
        <v>32</v>
      </c>
      <c r="N437" s="1"/>
      <c r="O437" t="s">
        <v>33</v>
      </c>
      <c r="P437" t="s">
        <v>591</v>
      </c>
    </row>
    <row r="438" spans="1:16" x14ac:dyDescent="0.3">
      <c r="A438">
        <v>1001</v>
      </c>
      <c r="B438" t="s">
        <v>42</v>
      </c>
      <c r="C438" t="s">
        <v>65</v>
      </c>
      <c r="D438" t="s">
        <v>18</v>
      </c>
      <c r="E438" s="1">
        <v>34583</v>
      </c>
      <c r="F438" s="1">
        <v>43923</v>
      </c>
      <c r="G438">
        <v>60</v>
      </c>
      <c r="H438" t="s">
        <v>78</v>
      </c>
      <c r="I438" t="s">
        <v>39</v>
      </c>
      <c r="J438" t="s">
        <v>284</v>
      </c>
      <c r="K438" t="s">
        <v>22</v>
      </c>
      <c r="L438">
        <v>5150</v>
      </c>
      <c r="M438" t="s">
        <v>32</v>
      </c>
      <c r="N438" s="1"/>
      <c r="O438" t="s">
        <v>33</v>
      </c>
      <c r="P438" t="s">
        <v>592</v>
      </c>
    </row>
    <row r="439" spans="1:16" x14ac:dyDescent="0.3">
      <c r="A439">
        <v>1055</v>
      </c>
      <c r="B439" t="s">
        <v>92</v>
      </c>
      <c r="C439" t="s">
        <v>17</v>
      </c>
      <c r="D439" t="s">
        <v>18</v>
      </c>
      <c r="E439" s="1">
        <v>28563</v>
      </c>
      <c r="F439" s="1">
        <v>44125</v>
      </c>
      <c r="G439">
        <v>50</v>
      </c>
      <c r="H439" t="s">
        <v>71</v>
      </c>
      <c r="I439" t="s">
        <v>30</v>
      </c>
      <c r="J439" t="s">
        <v>52</v>
      </c>
      <c r="K439" t="s">
        <v>22</v>
      </c>
      <c r="L439">
        <v>6500</v>
      </c>
      <c r="M439" t="s">
        <v>32</v>
      </c>
      <c r="N439" s="1"/>
      <c r="O439" t="s">
        <v>33</v>
      </c>
      <c r="P439" t="s">
        <v>593</v>
      </c>
    </row>
    <row r="440" spans="1:16" x14ac:dyDescent="0.3">
      <c r="A440">
        <v>1376</v>
      </c>
      <c r="B440" t="s">
        <v>64</v>
      </c>
      <c r="C440" t="s">
        <v>65</v>
      </c>
      <c r="D440" t="s">
        <v>18</v>
      </c>
      <c r="E440" s="1">
        <v>35152</v>
      </c>
      <c r="F440" s="1">
        <v>43574</v>
      </c>
      <c r="G440">
        <v>10</v>
      </c>
      <c r="H440" t="s">
        <v>49</v>
      </c>
      <c r="I440" t="s">
        <v>30</v>
      </c>
      <c r="J440" t="s">
        <v>21</v>
      </c>
      <c r="K440" t="s">
        <v>40</v>
      </c>
      <c r="L440">
        <v>7400</v>
      </c>
      <c r="M440" t="s">
        <v>32</v>
      </c>
      <c r="N440" s="1"/>
      <c r="O440" t="s">
        <v>33</v>
      </c>
      <c r="P440" t="s">
        <v>594</v>
      </c>
    </row>
    <row r="441" spans="1:16" x14ac:dyDescent="0.3">
      <c r="A441">
        <v>1029</v>
      </c>
      <c r="B441" t="s">
        <v>180</v>
      </c>
      <c r="C441" t="s">
        <v>17</v>
      </c>
      <c r="D441" t="s">
        <v>18</v>
      </c>
      <c r="E441" s="1">
        <v>26952</v>
      </c>
      <c r="F441" s="1">
        <v>44220</v>
      </c>
      <c r="G441">
        <v>30</v>
      </c>
      <c r="H441" t="s">
        <v>209</v>
      </c>
      <c r="I441" t="s">
        <v>39</v>
      </c>
      <c r="J441" t="s">
        <v>21</v>
      </c>
      <c r="K441" t="s">
        <v>22</v>
      </c>
      <c r="L441">
        <v>6700</v>
      </c>
      <c r="M441" t="s">
        <v>32</v>
      </c>
      <c r="N441" s="1"/>
      <c r="O441" t="s">
        <v>33</v>
      </c>
      <c r="P441" t="s">
        <v>595</v>
      </c>
    </row>
    <row r="442" spans="1:16" x14ac:dyDescent="0.3">
      <c r="A442">
        <v>1207</v>
      </c>
      <c r="B442" t="s">
        <v>204</v>
      </c>
      <c r="C442" t="s">
        <v>98</v>
      </c>
      <c r="D442" t="s">
        <v>37</v>
      </c>
      <c r="E442" s="1">
        <v>28223</v>
      </c>
      <c r="F442" s="1">
        <v>45054</v>
      </c>
      <c r="G442">
        <v>40</v>
      </c>
      <c r="H442" t="s">
        <v>101</v>
      </c>
      <c r="I442" t="s">
        <v>30</v>
      </c>
      <c r="J442" t="s">
        <v>21</v>
      </c>
      <c r="K442" t="s">
        <v>22</v>
      </c>
      <c r="L442">
        <v>6500</v>
      </c>
      <c r="M442" t="s">
        <v>32</v>
      </c>
      <c r="N442" s="1"/>
      <c r="O442" t="s">
        <v>33</v>
      </c>
      <c r="P442" t="s">
        <v>596</v>
      </c>
    </row>
    <row r="443" spans="1:16" x14ac:dyDescent="0.3">
      <c r="A443">
        <v>1384</v>
      </c>
      <c r="B443" t="s">
        <v>164</v>
      </c>
      <c r="C443" t="s">
        <v>194</v>
      </c>
      <c r="D443" t="s">
        <v>37</v>
      </c>
      <c r="E443" s="1">
        <v>34706</v>
      </c>
      <c r="F443" s="1">
        <v>44454</v>
      </c>
      <c r="G443">
        <v>10</v>
      </c>
      <c r="H443" t="s">
        <v>87</v>
      </c>
      <c r="I443" t="s">
        <v>30</v>
      </c>
      <c r="J443" t="s">
        <v>21</v>
      </c>
      <c r="K443" t="s">
        <v>22</v>
      </c>
      <c r="L443">
        <v>9350</v>
      </c>
      <c r="M443" t="s">
        <v>32</v>
      </c>
      <c r="N443" s="1"/>
      <c r="O443" t="s">
        <v>33</v>
      </c>
      <c r="P443" t="s">
        <v>597</v>
      </c>
    </row>
    <row r="444" spans="1:16" x14ac:dyDescent="0.3">
      <c r="A444">
        <v>1479</v>
      </c>
      <c r="B444" t="s">
        <v>147</v>
      </c>
      <c r="C444" t="s">
        <v>412</v>
      </c>
      <c r="D444" t="s">
        <v>37</v>
      </c>
      <c r="E444" s="1">
        <v>36243</v>
      </c>
      <c r="F444" s="1">
        <v>45770</v>
      </c>
      <c r="G444">
        <v>70</v>
      </c>
      <c r="H444" t="s">
        <v>116</v>
      </c>
      <c r="I444" t="s">
        <v>30</v>
      </c>
      <c r="J444" t="s">
        <v>31</v>
      </c>
      <c r="K444" t="s">
        <v>22</v>
      </c>
      <c r="L444">
        <v>5000</v>
      </c>
      <c r="M444" t="s">
        <v>32</v>
      </c>
      <c r="N444" s="1"/>
      <c r="O444" t="s">
        <v>33</v>
      </c>
      <c r="P444" t="s">
        <v>598</v>
      </c>
    </row>
    <row r="445" spans="1:16" x14ac:dyDescent="0.3">
      <c r="A445">
        <v>1050</v>
      </c>
      <c r="B445" t="s">
        <v>228</v>
      </c>
      <c r="C445" t="s">
        <v>184</v>
      </c>
      <c r="D445" t="s">
        <v>37</v>
      </c>
      <c r="E445" s="1">
        <v>26560</v>
      </c>
      <c r="F445" s="1">
        <v>43390</v>
      </c>
      <c r="G445">
        <v>80</v>
      </c>
      <c r="H445" t="s">
        <v>159</v>
      </c>
      <c r="I445" t="s">
        <v>242</v>
      </c>
      <c r="J445" t="s">
        <v>21</v>
      </c>
      <c r="K445" t="s">
        <v>40</v>
      </c>
      <c r="L445">
        <v>9700</v>
      </c>
      <c r="M445" t="s">
        <v>32</v>
      </c>
      <c r="N445" s="1"/>
      <c r="O445" t="s">
        <v>33</v>
      </c>
      <c r="P445" t="s">
        <v>599</v>
      </c>
    </row>
    <row r="446" spans="1:16" x14ac:dyDescent="0.3">
      <c r="A446">
        <v>1351</v>
      </c>
      <c r="B446" t="s">
        <v>136</v>
      </c>
      <c r="C446" t="s">
        <v>163</v>
      </c>
      <c r="D446" t="s">
        <v>18</v>
      </c>
      <c r="E446" s="1">
        <v>29678</v>
      </c>
      <c r="F446" s="1">
        <v>44660</v>
      </c>
      <c r="G446">
        <v>70</v>
      </c>
      <c r="H446" t="s">
        <v>38</v>
      </c>
      <c r="I446" t="s">
        <v>45</v>
      </c>
      <c r="J446" t="s">
        <v>191</v>
      </c>
      <c r="K446" t="s">
        <v>22</v>
      </c>
      <c r="L446">
        <v>4050</v>
      </c>
      <c r="M446" t="s">
        <v>32</v>
      </c>
      <c r="N446" s="1"/>
      <c r="O446" t="s">
        <v>33</v>
      </c>
      <c r="P446" t="s">
        <v>600</v>
      </c>
    </row>
    <row r="447" spans="1:16" x14ac:dyDescent="0.3">
      <c r="A447">
        <v>1021</v>
      </c>
      <c r="B447" t="s">
        <v>73</v>
      </c>
      <c r="C447" t="s">
        <v>65</v>
      </c>
      <c r="D447" t="s">
        <v>221</v>
      </c>
      <c r="E447" s="1">
        <v>31739</v>
      </c>
      <c r="F447" s="1">
        <v>45890</v>
      </c>
      <c r="G447">
        <v>20</v>
      </c>
      <c r="H447" t="s">
        <v>104</v>
      </c>
      <c r="I447" t="s">
        <v>45</v>
      </c>
      <c r="J447" t="s">
        <v>21</v>
      </c>
      <c r="K447" t="s">
        <v>22</v>
      </c>
      <c r="L447">
        <v>4800</v>
      </c>
      <c r="M447" t="s">
        <v>23</v>
      </c>
      <c r="N447" s="1">
        <v>46018</v>
      </c>
      <c r="O447" t="s">
        <v>186</v>
      </c>
      <c r="P447" t="s">
        <v>601</v>
      </c>
    </row>
    <row r="448" spans="1:16" x14ac:dyDescent="0.3">
      <c r="A448">
        <v>1294</v>
      </c>
      <c r="B448" t="s">
        <v>80</v>
      </c>
      <c r="C448" t="s">
        <v>171</v>
      </c>
      <c r="D448" t="s">
        <v>18</v>
      </c>
      <c r="E448" s="1">
        <v>34590</v>
      </c>
      <c r="F448" s="1">
        <v>43238</v>
      </c>
      <c r="G448">
        <v>80</v>
      </c>
      <c r="H448" t="s">
        <v>159</v>
      </c>
      <c r="I448" t="s">
        <v>30</v>
      </c>
      <c r="J448" t="s">
        <v>46</v>
      </c>
      <c r="K448" t="s">
        <v>22</v>
      </c>
      <c r="L448">
        <v>7150</v>
      </c>
      <c r="M448" t="s">
        <v>32</v>
      </c>
      <c r="N448" s="1"/>
      <c r="O448" t="s">
        <v>33</v>
      </c>
      <c r="P448" t="s">
        <v>602</v>
      </c>
    </row>
    <row r="449" spans="1:16" x14ac:dyDescent="0.3">
      <c r="A449">
        <v>1177</v>
      </c>
      <c r="B449" t="s">
        <v>396</v>
      </c>
      <c r="C449" t="s">
        <v>59</v>
      </c>
      <c r="D449" t="s">
        <v>18</v>
      </c>
      <c r="E449" s="1">
        <v>34392</v>
      </c>
      <c r="F449" s="1">
        <v>43490</v>
      </c>
      <c r="G449">
        <v>70</v>
      </c>
      <c r="H449" t="s">
        <v>38</v>
      </c>
      <c r="I449" t="s">
        <v>30</v>
      </c>
      <c r="J449" t="s">
        <v>31</v>
      </c>
      <c r="K449" t="s">
        <v>22</v>
      </c>
      <c r="L449">
        <v>6400</v>
      </c>
      <c r="M449" t="s">
        <v>32</v>
      </c>
      <c r="N449" s="1"/>
      <c r="O449" t="s">
        <v>33</v>
      </c>
      <c r="P449" t="s">
        <v>603</v>
      </c>
    </row>
    <row r="450" spans="1:16" x14ac:dyDescent="0.3">
      <c r="A450">
        <v>1336</v>
      </c>
      <c r="B450" t="s">
        <v>89</v>
      </c>
      <c r="C450" t="s">
        <v>17</v>
      </c>
      <c r="D450" t="s">
        <v>18</v>
      </c>
      <c r="E450" s="1">
        <v>31792</v>
      </c>
      <c r="F450" s="1">
        <v>44616</v>
      </c>
      <c r="G450">
        <v>60</v>
      </c>
      <c r="H450" t="s">
        <v>78</v>
      </c>
      <c r="I450" t="s">
        <v>39</v>
      </c>
      <c r="J450" t="s">
        <v>52</v>
      </c>
      <c r="K450" t="s">
        <v>22</v>
      </c>
      <c r="L450">
        <v>5800</v>
      </c>
      <c r="M450" t="s">
        <v>32</v>
      </c>
      <c r="N450" s="1"/>
      <c r="O450" t="s">
        <v>33</v>
      </c>
      <c r="P450" t="s">
        <v>33</v>
      </c>
    </row>
    <row r="451" spans="1:16" x14ac:dyDescent="0.3">
      <c r="A451">
        <v>1380</v>
      </c>
      <c r="B451" t="s">
        <v>180</v>
      </c>
      <c r="C451" t="s">
        <v>247</v>
      </c>
      <c r="D451" t="s">
        <v>18</v>
      </c>
      <c r="E451" s="1">
        <v>34506</v>
      </c>
      <c r="F451" s="1">
        <v>44952</v>
      </c>
      <c r="G451">
        <v>60</v>
      </c>
      <c r="H451" t="s">
        <v>78</v>
      </c>
      <c r="I451" t="s">
        <v>30</v>
      </c>
      <c r="J451" t="s">
        <v>264</v>
      </c>
      <c r="K451" t="s">
        <v>22</v>
      </c>
      <c r="L451">
        <v>4400</v>
      </c>
      <c r="M451" t="s">
        <v>32</v>
      </c>
      <c r="N451" s="1"/>
      <c r="O451" t="s">
        <v>33</v>
      </c>
      <c r="P451" t="s">
        <v>604</v>
      </c>
    </row>
    <row r="452" spans="1:16" x14ac:dyDescent="0.3">
      <c r="A452">
        <v>1034</v>
      </c>
      <c r="B452" t="s">
        <v>73</v>
      </c>
      <c r="C452" t="s">
        <v>107</v>
      </c>
      <c r="D452" t="s">
        <v>37</v>
      </c>
      <c r="E452" s="1">
        <v>29527</v>
      </c>
      <c r="F452" s="1">
        <v>43392</v>
      </c>
      <c r="G452">
        <v>10</v>
      </c>
      <c r="H452" t="s">
        <v>49</v>
      </c>
      <c r="I452" t="s">
        <v>39</v>
      </c>
      <c r="J452" t="s">
        <v>21</v>
      </c>
      <c r="K452" t="s">
        <v>22</v>
      </c>
      <c r="L452">
        <v>12900</v>
      </c>
      <c r="M452" t="s">
        <v>32</v>
      </c>
      <c r="N452" s="1"/>
      <c r="O452" t="s">
        <v>33</v>
      </c>
      <c r="P452" t="s">
        <v>605</v>
      </c>
    </row>
    <row r="453" spans="1:16" x14ac:dyDescent="0.3">
      <c r="A453">
        <v>1172</v>
      </c>
      <c r="B453" t="s">
        <v>94</v>
      </c>
      <c r="C453" t="s">
        <v>27</v>
      </c>
      <c r="D453" t="s">
        <v>37</v>
      </c>
      <c r="E453" s="1">
        <v>32515</v>
      </c>
      <c r="F453" s="1">
        <v>43530</v>
      </c>
      <c r="G453">
        <v>20</v>
      </c>
      <c r="H453" t="s">
        <v>68</v>
      </c>
      <c r="I453" t="s">
        <v>45</v>
      </c>
      <c r="J453" t="s">
        <v>31</v>
      </c>
      <c r="K453" t="s">
        <v>22</v>
      </c>
      <c r="L453">
        <v>3900</v>
      </c>
      <c r="M453" t="s">
        <v>32</v>
      </c>
      <c r="N453" s="1"/>
      <c r="O453" t="s">
        <v>33</v>
      </c>
      <c r="P453" t="s">
        <v>606</v>
      </c>
    </row>
    <row r="454" spans="1:16" x14ac:dyDescent="0.3">
      <c r="A454">
        <v>1008</v>
      </c>
      <c r="B454" t="s">
        <v>70</v>
      </c>
      <c r="C454" t="s">
        <v>216</v>
      </c>
      <c r="D454" t="s">
        <v>18</v>
      </c>
      <c r="E454" s="1">
        <v>32299</v>
      </c>
      <c r="F454" s="1">
        <v>42909</v>
      </c>
      <c r="G454">
        <v>40</v>
      </c>
      <c r="H454" t="s">
        <v>120</v>
      </c>
      <c r="I454" t="s">
        <v>30</v>
      </c>
      <c r="J454" t="s">
        <v>61</v>
      </c>
      <c r="K454" t="s">
        <v>22</v>
      </c>
      <c r="L454">
        <v>5400</v>
      </c>
      <c r="M454" t="s">
        <v>32</v>
      </c>
      <c r="N454" s="1"/>
      <c r="O454" t="s">
        <v>33</v>
      </c>
      <c r="P454" t="s">
        <v>607</v>
      </c>
    </row>
    <row r="455" spans="1:16" x14ac:dyDescent="0.3">
      <c r="A455">
        <v>1319</v>
      </c>
      <c r="B455" t="s">
        <v>122</v>
      </c>
      <c r="C455" t="s">
        <v>81</v>
      </c>
      <c r="D455" t="s">
        <v>37</v>
      </c>
      <c r="E455" s="1">
        <v>30606</v>
      </c>
      <c r="F455" s="1">
        <v>44678</v>
      </c>
      <c r="G455">
        <v>10</v>
      </c>
      <c r="H455" t="s">
        <v>108</v>
      </c>
      <c r="I455" t="s">
        <v>39</v>
      </c>
      <c r="J455" t="s">
        <v>21</v>
      </c>
      <c r="K455" t="s">
        <v>22</v>
      </c>
      <c r="L455">
        <v>12950</v>
      </c>
      <c r="M455" t="s">
        <v>32</v>
      </c>
      <c r="N455" s="1"/>
      <c r="O455" t="s">
        <v>33</v>
      </c>
      <c r="P455" t="s">
        <v>608</v>
      </c>
    </row>
    <row r="456" spans="1:16" x14ac:dyDescent="0.3">
      <c r="A456">
        <v>1110</v>
      </c>
      <c r="B456" t="s">
        <v>157</v>
      </c>
      <c r="C456" t="s">
        <v>382</v>
      </c>
      <c r="D456" t="s">
        <v>37</v>
      </c>
      <c r="E456" s="1">
        <v>32679</v>
      </c>
      <c r="F456" s="1">
        <v>44162</v>
      </c>
      <c r="G456">
        <v>10</v>
      </c>
      <c r="H456" t="s">
        <v>44</v>
      </c>
      <c r="I456" t="s">
        <v>30</v>
      </c>
      <c r="J456" t="s">
        <v>21</v>
      </c>
      <c r="K456" t="s">
        <v>22</v>
      </c>
      <c r="L456">
        <v>8300</v>
      </c>
      <c r="M456" t="s">
        <v>32</v>
      </c>
      <c r="N456" s="1"/>
      <c r="O456" t="s">
        <v>33</v>
      </c>
      <c r="P456" t="s">
        <v>383</v>
      </c>
    </row>
    <row r="457" spans="1:16" x14ac:dyDescent="0.3">
      <c r="A457">
        <v>1107</v>
      </c>
      <c r="B457" t="s">
        <v>70</v>
      </c>
      <c r="C457" t="s">
        <v>224</v>
      </c>
      <c r="D457" t="s">
        <v>37</v>
      </c>
      <c r="E457" s="1">
        <v>33395</v>
      </c>
      <c r="F457" s="1">
        <v>45001</v>
      </c>
      <c r="G457">
        <v>10</v>
      </c>
      <c r="H457" t="s">
        <v>108</v>
      </c>
      <c r="I457" t="s">
        <v>242</v>
      </c>
      <c r="J457" t="s">
        <v>21</v>
      </c>
      <c r="K457" t="s">
        <v>22</v>
      </c>
      <c r="L457">
        <v>13150</v>
      </c>
      <c r="M457" t="s">
        <v>32</v>
      </c>
      <c r="N457" s="1"/>
      <c r="O457" t="s">
        <v>33</v>
      </c>
      <c r="P457" t="s">
        <v>609</v>
      </c>
    </row>
    <row r="458" spans="1:16" x14ac:dyDescent="0.3">
      <c r="A458">
        <v>1414</v>
      </c>
      <c r="B458" t="s">
        <v>125</v>
      </c>
      <c r="C458" t="s">
        <v>247</v>
      </c>
      <c r="D458" t="s">
        <v>18</v>
      </c>
      <c r="E458" s="1">
        <v>29346</v>
      </c>
      <c r="F458" s="1">
        <v>44800</v>
      </c>
      <c r="H458" t="s">
        <v>104</v>
      </c>
      <c r="I458" t="s">
        <v>30</v>
      </c>
      <c r="J458" t="s">
        <v>31</v>
      </c>
      <c r="K458" t="s">
        <v>22</v>
      </c>
      <c r="L458">
        <v>4500</v>
      </c>
      <c r="M458" t="s">
        <v>32</v>
      </c>
      <c r="N458" s="1"/>
      <c r="O458" t="s">
        <v>33</v>
      </c>
      <c r="P458" t="s">
        <v>610</v>
      </c>
    </row>
    <row r="459" spans="1:16" x14ac:dyDescent="0.3">
      <c r="A459">
        <v>1098</v>
      </c>
      <c r="B459" t="s">
        <v>611</v>
      </c>
      <c r="C459" t="s">
        <v>247</v>
      </c>
      <c r="D459" t="s">
        <v>18</v>
      </c>
      <c r="E459" s="1">
        <v>34610</v>
      </c>
      <c r="F459" s="1">
        <v>43291</v>
      </c>
      <c r="G459">
        <v>40</v>
      </c>
      <c r="H459" t="s">
        <v>101</v>
      </c>
      <c r="I459" t="s">
        <v>30</v>
      </c>
      <c r="J459" t="s">
        <v>21</v>
      </c>
      <c r="K459" t="s">
        <v>22</v>
      </c>
      <c r="L459">
        <v>5200</v>
      </c>
      <c r="M459" t="s">
        <v>32</v>
      </c>
      <c r="N459" s="1"/>
      <c r="O459" t="s">
        <v>33</v>
      </c>
      <c r="P459" t="s">
        <v>612</v>
      </c>
    </row>
    <row r="460" spans="1:16" x14ac:dyDescent="0.3">
      <c r="A460">
        <v>1111</v>
      </c>
      <c r="B460" t="s">
        <v>164</v>
      </c>
      <c r="C460" t="s">
        <v>206</v>
      </c>
      <c r="D460" t="s">
        <v>18</v>
      </c>
      <c r="E460" s="1">
        <v>34745</v>
      </c>
      <c r="F460" s="1">
        <v>43037</v>
      </c>
      <c r="G460">
        <v>10</v>
      </c>
      <c r="H460" t="s">
        <v>87</v>
      </c>
      <c r="I460" t="s">
        <v>45</v>
      </c>
      <c r="J460" t="s">
        <v>31</v>
      </c>
      <c r="K460" t="s">
        <v>22</v>
      </c>
      <c r="L460">
        <v>6300</v>
      </c>
      <c r="M460" t="s">
        <v>32</v>
      </c>
      <c r="N460" s="1"/>
      <c r="O460" t="s">
        <v>33</v>
      </c>
      <c r="P460" t="s">
        <v>613</v>
      </c>
    </row>
    <row r="461" spans="1:16" x14ac:dyDescent="0.3">
      <c r="A461">
        <v>1361</v>
      </c>
      <c r="B461" t="s">
        <v>161</v>
      </c>
      <c r="C461" t="s">
        <v>273</v>
      </c>
      <c r="D461" t="s">
        <v>148</v>
      </c>
      <c r="E461" s="1">
        <v>28712</v>
      </c>
      <c r="F461" s="1">
        <v>45816</v>
      </c>
      <c r="G461">
        <v>70</v>
      </c>
      <c r="H461" t="s">
        <v>116</v>
      </c>
      <c r="I461" t="s">
        <v>30</v>
      </c>
      <c r="J461" t="s">
        <v>31</v>
      </c>
      <c r="K461" t="s">
        <v>22</v>
      </c>
      <c r="L461">
        <v>4450</v>
      </c>
      <c r="M461" t="s">
        <v>32</v>
      </c>
      <c r="N461" s="1"/>
      <c r="O461" t="s">
        <v>33</v>
      </c>
      <c r="P461" t="s">
        <v>614</v>
      </c>
    </row>
    <row r="462" spans="1:16" x14ac:dyDescent="0.3">
      <c r="A462">
        <v>1070</v>
      </c>
      <c r="B462" t="s">
        <v>134</v>
      </c>
      <c r="C462" t="s">
        <v>155</v>
      </c>
      <c r="D462" t="s">
        <v>37</v>
      </c>
      <c r="E462" s="1">
        <v>30184</v>
      </c>
      <c r="F462" s="1">
        <v>42684</v>
      </c>
      <c r="G462">
        <v>20</v>
      </c>
      <c r="H462" t="s">
        <v>68</v>
      </c>
      <c r="I462" t="s">
        <v>30</v>
      </c>
      <c r="J462" t="s">
        <v>21</v>
      </c>
      <c r="K462" t="s">
        <v>22</v>
      </c>
      <c r="L462">
        <v>5700</v>
      </c>
      <c r="M462" t="s">
        <v>32</v>
      </c>
      <c r="N462" s="1"/>
      <c r="O462" t="s">
        <v>33</v>
      </c>
      <c r="P462" t="s">
        <v>615</v>
      </c>
    </row>
    <row r="463" spans="1:16" x14ac:dyDescent="0.3">
      <c r="A463">
        <v>1347</v>
      </c>
      <c r="B463" t="s">
        <v>204</v>
      </c>
      <c r="C463" t="s">
        <v>184</v>
      </c>
      <c r="D463" t="s">
        <v>37</v>
      </c>
      <c r="E463" s="1">
        <v>35409</v>
      </c>
      <c r="F463" s="1">
        <v>45794</v>
      </c>
      <c r="G463">
        <v>20</v>
      </c>
      <c r="H463" t="s">
        <v>104</v>
      </c>
      <c r="I463" t="s">
        <v>39</v>
      </c>
      <c r="J463" t="s">
        <v>165</v>
      </c>
      <c r="K463" t="s">
        <v>22</v>
      </c>
      <c r="L463">
        <v>9850</v>
      </c>
      <c r="M463" t="s">
        <v>23</v>
      </c>
      <c r="N463" s="1">
        <v>45963</v>
      </c>
      <c r="O463" t="s">
        <v>24</v>
      </c>
      <c r="P463" t="s">
        <v>616</v>
      </c>
    </row>
    <row r="464" spans="1:16" x14ac:dyDescent="0.3">
      <c r="A464">
        <v>1436</v>
      </c>
      <c r="B464" t="s">
        <v>150</v>
      </c>
      <c r="C464" t="s">
        <v>184</v>
      </c>
      <c r="D464" t="s">
        <v>37</v>
      </c>
      <c r="E464" s="1">
        <v>33531</v>
      </c>
      <c r="F464" s="1">
        <v>43084</v>
      </c>
      <c r="G464">
        <v>10</v>
      </c>
      <c r="H464" t="s">
        <v>87</v>
      </c>
      <c r="I464" t="s">
        <v>39</v>
      </c>
      <c r="J464" t="s">
        <v>21</v>
      </c>
      <c r="K464" t="s">
        <v>22</v>
      </c>
      <c r="L464">
        <v>13700</v>
      </c>
      <c r="M464" t="s">
        <v>23</v>
      </c>
      <c r="N464" s="1">
        <v>44321</v>
      </c>
      <c r="O464" t="s">
        <v>186</v>
      </c>
      <c r="P464" t="s">
        <v>617</v>
      </c>
    </row>
    <row r="465" spans="1:16" x14ac:dyDescent="0.3">
      <c r="A465">
        <v>1130</v>
      </c>
      <c r="B465" t="s">
        <v>80</v>
      </c>
      <c r="C465" t="s">
        <v>59</v>
      </c>
      <c r="D465" t="s">
        <v>18</v>
      </c>
      <c r="E465" s="1">
        <v>35943</v>
      </c>
      <c r="F465" s="1">
        <v>45769</v>
      </c>
      <c r="G465">
        <v>70</v>
      </c>
      <c r="H465" t="s">
        <v>116</v>
      </c>
      <c r="I465" t="s">
        <v>45</v>
      </c>
      <c r="J465" t="s">
        <v>132</v>
      </c>
      <c r="K465" t="s">
        <v>22</v>
      </c>
      <c r="L465">
        <v>3600</v>
      </c>
      <c r="M465" t="s">
        <v>32</v>
      </c>
      <c r="N465" s="1"/>
      <c r="O465" t="s">
        <v>33</v>
      </c>
      <c r="P465" t="s">
        <v>618</v>
      </c>
    </row>
    <row r="466" spans="1:16" x14ac:dyDescent="0.3">
      <c r="A466">
        <v>1317</v>
      </c>
      <c r="B466" t="s">
        <v>180</v>
      </c>
      <c r="C466" t="s">
        <v>184</v>
      </c>
      <c r="D466" t="s">
        <v>37</v>
      </c>
      <c r="E466" s="1">
        <v>27226</v>
      </c>
      <c r="F466" s="1">
        <v>43994</v>
      </c>
      <c r="G466">
        <v>60</v>
      </c>
      <c r="H466" t="s">
        <v>29</v>
      </c>
      <c r="I466" t="s">
        <v>39</v>
      </c>
      <c r="J466" t="s">
        <v>52</v>
      </c>
      <c r="K466" t="s">
        <v>22</v>
      </c>
      <c r="L466">
        <v>7050</v>
      </c>
      <c r="M466" t="s">
        <v>32</v>
      </c>
      <c r="N466" s="1"/>
      <c r="O466" t="s">
        <v>33</v>
      </c>
      <c r="P466" t="s">
        <v>619</v>
      </c>
    </row>
    <row r="467" spans="1:16" x14ac:dyDescent="0.3">
      <c r="A467">
        <v>1448</v>
      </c>
      <c r="B467" t="s">
        <v>620</v>
      </c>
      <c r="C467" t="s">
        <v>103</v>
      </c>
      <c r="D467" t="s">
        <v>37</v>
      </c>
      <c r="E467" s="1">
        <v>34299</v>
      </c>
      <c r="F467" s="1">
        <v>42555</v>
      </c>
      <c r="G467">
        <v>30</v>
      </c>
      <c r="H467" t="s">
        <v>56</v>
      </c>
      <c r="I467" t="s">
        <v>30</v>
      </c>
      <c r="J467" t="s">
        <v>46</v>
      </c>
      <c r="K467" t="s">
        <v>22</v>
      </c>
      <c r="L467">
        <v>6250</v>
      </c>
      <c r="M467" t="s">
        <v>32</v>
      </c>
      <c r="N467" s="1"/>
      <c r="O467" t="s">
        <v>33</v>
      </c>
      <c r="P467" t="s">
        <v>621</v>
      </c>
    </row>
    <row r="468" spans="1:16" x14ac:dyDescent="0.3">
      <c r="A468">
        <v>1259</v>
      </c>
      <c r="B468" t="s">
        <v>150</v>
      </c>
      <c r="C468" t="s">
        <v>110</v>
      </c>
      <c r="D468" t="s">
        <v>37</v>
      </c>
      <c r="E468" s="1">
        <v>33799</v>
      </c>
      <c r="F468" s="1">
        <v>43060</v>
      </c>
      <c r="H468" t="s">
        <v>68</v>
      </c>
      <c r="I468" t="s">
        <v>214</v>
      </c>
      <c r="J468" t="s">
        <v>21</v>
      </c>
      <c r="K468" t="s">
        <v>22</v>
      </c>
      <c r="L468">
        <v>4000</v>
      </c>
      <c r="M468" t="s">
        <v>32</v>
      </c>
      <c r="N468" s="1"/>
      <c r="O468" t="s">
        <v>33</v>
      </c>
      <c r="P468" t="s">
        <v>622</v>
      </c>
    </row>
    <row r="469" spans="1:16" x14ac:dyDescent="0.3">
      <c r="A469">
        <v>1323</v>
      </c>
      <c r="B469" t="s">
        <v>164</v>
      </c>
      <c r="C469" t="s">
        <v>200</v>
      </c>
      <c r="D469" t="s">
        <v>18</v>
      </c>
      <c r="E469" s="1">
        <v>33026</v>
      </c>
      <c r="F469" s="1">
        <v>44677</v>
      </c>
      <c r="G469">
        <v>40</v>
      </c>
      <c r="H469" t="s">
        <v>120</v>
      </c>
      <c r="I469" t="s">
        <v>45</v>
      </c>
      <c r="J469" t="s">
        <v>21</v>
      </c>
      <c r="K469" t="s">
        <v>40</v>
      </c>
      <c r="L469">
        <v>3400</v>
      </c>
      <c r="M469" t="s">
        <v>32</v>
      </c>
      <c r="N469" s="1"/>
      <c r="O469" t="s">
        <v>33</v>
      </c>
      <c r="P469" t="s">
        <v>623</v>
      </c>
    </row>
    <row r="470" spans="1:16" x14ac:dyDescent="0.3">
      <c r="A470">
        <v>1151</v>
      </c>
      <c r="B470" t="s">
        <v>125</v>
      </c>
      <c r="C470" t="s">
        <v>113</v>
      </c>
      <c r="D470" t="s">
        <v>37</v>
      </c>
      <c r="E470" s="1">
        <v>26760</v>
      </c>
      <c r="F470" s="1">
        <v>43793</v>
      </c>
      <c r="G470">
        <v>60</v>
      </c>
      <c r="H470" t="s">
        <v>29</v>
      </c>
      <c r="I470" t="s">
        <v>39</v>
      </c>
      <c r="J470" t="s">
        <v>21</v>
      </c>
      <c r="K470" t="s">
        <v>22</v>
      </c>
      <c r="L470">
        <v>6500</v>
      </c>
      <c r="M470" t="s">
        <v>32</v>
      </c>
      <c r="N470" s="1"/>
      <c r="O470" t="s">
        <v>33</v>
      </c>
      <c r="P470" t="s">
        <v>624</v>
      </c>
    </row>
    <row r="471" spans="1:16" x14ac:dyDescent="0.3">
      <c r="A471">
        <v>1338</v>
      </c>
      <c r="B471" t="s">
        <v>136</v>
      </c>
      <c r="C471" t="s">
        <v>107</v>
      </c>
      <c r="D471" t="s">
        <v>37</v>
      </c>
      <c r="E471" s="1">
        <v>34778</v>
      </c>
      <c r="F471" s="1">
        <v>43773</v>
      </c>
      <c r="G471">
        <v>70</v>
      </c>
      <c r="H471" t="s">
        <v>38</v>
      </c>
      <c r="I471" t="s">
        <v>30</v>
      </c>
      <c r="J471" t="s">
        <v>31</v>
      </c>
      <c r="K471" t="s">
        <v>22</v>
      </c>
      <c r="L471">
        <v>5100</v>
      </c>
      <c r="M471" t="s">
        <v>32</v>
      </c>
      <c r="N471" s="1"/>
      <c r="O471" t="s">
        <v>33</v>
      </c>
      <c r="P471" t="s">
        <v>625</v>
      </c>
    </row>
    <row r="472" spans="1:16" x14ac:dyDescent="0.3">
      <c r="A472">
        <v>1027</v>
      </c>
      <c r="B472" t="s">
        <v>70</v>
      </c>
      <c r="C472" t="s">
        <v>178</v>
      </c>
      <c r="D472" t="s">
        <v>18</v>
      </c>
      <c r="E472" s="1">
        <v>31418</v>
      </c>
      <c r="F472" s="1">
        <v>42995</v>
      </c>
      <c r="G472">
        <v>60</v>
      </c>
      <c r="H472" t="s">
        <v>78</v>
      </c>
      <c r="I472" t="s">
        <v>45</v>
      </c>
      <c r="J472" t="s">
        <v>21</v>
      </c>
      <c r="K472" t="s">
        <v>40</v>
      </c>
      <c r="L472">
        <v>3050</v>
      </c>
      <c r="M472" t="s">
        <v>23</v>
      </c>
      <c r="N472" s="1">
        <v>44621</v>
      </c>
      <c r="O472" t="s">
        <v>105</v>
      </c>
      <c r="P472" t="s">
        <v>626</v>
      </c>
    </row>
    <row r="473" spans="1:16" x14ac:dyDescent="0.3">
      <c r="A473">
        <v>1399</v>
      </c>
      <c r="B473" t="s">
        <v>157</v>
      </c>
      <c r="C473" t="s">
        <v>155</v>
      </c>
      <c r="D473" t="s">
        <v>37</v>
      </c>
      <c r="E473" s="1">
        <v>33915</v>
      </c>
      <c r="F473" s="1">
        <v>43042</v>
      </c>
      <c r="G473">
        <v>70</v>
      </c>
      <c r="H473" t="s">
        <v>38</v>
      </c>
      <c r="I473" t="s">
        <v>30</v>
      </c>
      <c r="J473" t="s">
        <v>21</v>
      </c>
      <c r="K473" t="s">
        <v>22</v>
      </c>
      <c r="L473">
        <v>6250</v>
      </c>
      <c r="M473" t="s">
        <v>32</v>
      </c>
      <c r="N473" s="1"/>
      <c r="O473" t="s">
        <v>33</v>
      </c>
      <c r="P473" t="s">
        <v>627</v>
      </c>
    </row>
    <row r="474" spans="1:16" x14ac:dyDescent="0.3">
      <c r="A474">
        <v>1424</v>
      </c>
      <c r="B474" t="s">
        <v>94</v>
      </c>
      <c r="C474" t="s">
        <v>110</v>
      </c>
      <c r="D474" t="s">
        <v>37</v>
      </c>
      <c r="E474" s="1">
        <v>33166</v>
      </c>
      <c r="F474" s="1">
        <v>43529</v>
      </c>
      <c r="G474">
        <v>70</v>
      </c>
      <c r="H474" t="s">
        <v>38</v>
      </c>
      <c r="I474" t="s">
        <v>30</v>
      </c>
      <c r="J474" t="s">
        <v>31</v>
      </c>
      <c r="K474" t="s">
        <v>22</v>
      </c>
      <c r="L474">
        <v>5200</v>
      </c>
      <c r="M474" t="s">
        <v>32</v>
      </c>
      <c r="N474" s="1"/>
      <c r="O474" t="s">
        <v>33</v>
      </c>
      <c r="P474" t="s">
        <v>628</v>
      </c>
    </row>
    <row r="475" spans="1:16" x14ac:dyDescent="0.3">
      <c r="A475">
        <v>1094</v>
      </c>
      <c r="B475" t="s">
        <v>147</v>
      </c>
      <c r="C475" t="s">
        <v>131</v>
      </c>
      <c r="D475" t="s">
        <v>18</v>
      </c>
      <c r="E475" s="1">
        <v>33413</v>
      </c>
      <c r="F475" s="1">
        <v>42556</v>
      </c>
      <c r="G475">
        <v>10</v>
      </c>
      <c r="H475" t="s">
        <v>49</v>
      </c>
      <c r="I475" t="s">
        <v>45</v>
      </c>
      <c r="J475" t="s">
        <v>52</v>
      </c>
      <c r="K475" t="s">
        <v>22</v>
      </c>
      <c r="L475">
        <v>6000</v>
      </c>
      <c r="M475" t="s">
        <v>32</v>
      </c>
      <c r="N475" s="1"/>
      <c r="O475" t="s">
        <v>33</v>
      </c>
      <c r="P475" t="s">
        <v>629</v>
      </c>
    </row>
    <row r="476" spans="1:16" x14ac:dyDescent="0.3">
      <c r="A476">
        <v>1429</v>
      </c>
      <c r="B476" t="s">
        <v>136</v>
      </c>
      <c r="C476" t="s">
        <v>90</v>
      </c>
      <c r="D476" t="s">
        <v>18</v>
      </c>
      <c r="E476" s="1">
        <v>28426</v>
      </c>
      <c r="F476" s="1">
        <v>45423</v>
      </c>
      <c r="G476">
        <v>30</v>
      </c>
      <c r="H476" t="s">
        <v>209</v>
      </c>
      <c r="I476" t="s">
        <v>30</v>
      </c>
      <c r="J476" t="s">
        <v>46</v>
      </c>
      <c r="K476" t="s">
        <v>22</v>
      </c>
      <c r="L476">
        <v>5250</v>
      </c>
      <c r="M476" t="s">
        <v>32</v>
      </c>
      <c r="N476" s="1"/>
      <c r="O476" t="s">
        <v>33</v>
      </c>
      <c r="P476" t="s">
        <v>630</v>
      </c>
    </row>
    <row r="477" spans="1:16" x14ac:dyDescent="0.3">
      <c r="A477">
        <v>1149</v>
      </c>
      <c r="B477" t="s">
        <v>150</v>
      </c>
      <c r="C477" t="s">
        <v>81</v>
      </c>
      <c r="D477" t="s">
        <v>37</v>
      </c>
      <c r="E477" s="1">
        <v>35488</v>
      </c>
      <c r="F477" s="1">
        <v>45823</v>
      </c>
      <c r="G477">
        <v>10</v>
      </c>
      <c r="H477" t="s">
        <v>49</v>
      </c>
      <c r="I477" t="s">
        <v>30</v>
      </c>
      <c r="J477" t="s">
        <v>21</v>
      </c>
      <c r="K477" t="s">
        <v>40</v>
      </c>
      <c r="L477">
        <v>8600</v>
      </c>
      <c r="M477" t="s">
        <v>32</v>
      </c>
      <c r="N477" s="1"/>
      <c r="O477" t="s">
        <v>33</v>
      </c>
      <c r="P477" t="s">
        <v>631</v>
      </c>
    </row>
    <row r="478" spans="1:16" x14ac:dyDescent="0.3">
      <c r="A478">
        <v>1423</v>
      </c>
      <c r="B478" t="s">
        <v>80</v>
      </c>
      <c r="C478" t="s">
        <v>155</v>
      </c>
      <c r="D478" t="s">
        <v>37</v>
      </c>
      <c r="E478" s="1">
        <v>35201</v>
      </c>
      <c r="F478" s="1">
        <v>44124</v>
      </c>
      <c r="G478">
        <v>20</v>
      </c>
      <c r="H478" t="s">
        <v>104</v>
      </c>
      <c r="I478" t="s">
        <v>45</v>
      </c>
      <c r="J478" t="s">
        <v>21</v>
      </c>
      <c r="K478" t="s">
        <v>22</v>
      </c>
      <c r="L478">
        <v>3450</v>
      </c>
      <c r="M478" t="s">
        <v>23</v>
      </c>
      <c r="N478" s="1">
        <v>44858</v>
      </c>
      <c r="O478" t="s">
        <v>105</v>
      </c>
      <c r="P478" t="s">
        <v>632</v>
      </c>
    </row>
    <row r="479" spans="1:16" x14ac:dyDescent="0.3">
      <c r="A479">
        <v>1120</v>
      </c>
      <c r="B479" t="s">
        <v>92</v>
      </c>
      <c r="C479" t="s">
        <v>184</v>
      </c>
      <c r="D479" t="s">
        <v>37</v>
      </c>
      <c r="E479" s="1">
        <v>36420</v>
      </c>
      <c r="F479" s="1">
        <v>45815</v>
      </c>
      <c r="G479">
        <v>40</v>
      </c>
      <c r="H479" t="s">
        <v>120</v>
      </c>
      <c r="I479" t="s">
        <v>30</v>
      </c>
      <c r="J479" t="s">
        <v>21</v>
      </c>
      <c r="K479" t="s">
        <v>22</v>
      </c>
      <c r="L479">
        <v>6650</v>
      </c>
      <c r="M479" t="s">
        <v>32</v>
      </c>
      <c r="N479" s="1"/>
      <c r="O479" t="s">
        <v>33</v>
      </c>
      <c r="P479" t="s">
        <v>633</v>
      </c>
    </row>
    <row r="480" spans="1:16" x14ac:dyDescent="0.3">
      <c r="A480">
        <v>1406</v>
      </c>
      <c r="B480" t="s">
        <v>150</v>
      </c>
      <c r="C480" t="s">
        <v>163</v>
      </c>
      <c r="D480" t="s">
        <v>18</v>
      </c>
      <c r="E480" s="1">
        <v>34926</v>
      </c>
      <c r="F480" s="1">
        <v>43087</v>
      </c>
      <c r="G480">
        <v>60</v>
      </c>
      <c r="H480" t="s">
        <v>29</v>
      </c>
      <c r="I480" t="s">
        <v>30</v>
      </c>
      <c r="J480" t="s">
        <v>83</v>
      </c>
      <c r="K480" t="s">
        <v>22</v>
      </c>
      <c r="L480">
        <v>3500</v>
      </c>
      <c r="M480" t="s">
        <v>32</v>
      </c>
      <c r="N480" s="1"/>
      <c r="O480" t="s">
        <v>33</v>
      </c>
      <c r="P480" t="s">
        <v>634</v>
      </c>
    </row>
    <row r="481" spans="1:16" x14ac:dyDescent="0.3">
      <c r="A481">
        <v>1139</v>
      </c>
      <c r="B481" t="s">
        <v>73</v>
      </c>
      <c r="C481" t="s">
        <v>65</v>
      </c>
      <c r="D481" t="s">
        <v>18</v>
      </c>
      <c r="E481" s="1">
        <v>31116</v>
      </c>
      <c r="F481" s="1">
        <v>43253</v>
      </c>
      <c r="G481">
        <v>70</v>
      </c>
      <c r="H481" t="s">
        <v>38</v>
      </c>
      <c r="I481" t="s">
        <v>45</v>
      </c>
      <c r="J481" t="s">
        <v>52</v>
      </c>
      <c r="K481" t="s">
        <v>22</v>
      </c>
      <c r="L481">
        <v>3900</v>
      </c>
      <c r="M481" t="s">
        <v>32</v>
      </c>
      <c r="N481" s="1"/>
      <c r="O481" t="s">
        <v>33</v>
      </c>
      <c r="P481" t="s">
        <v>635</v>
      </c>
    </row>
    <row r="482" spans="1:16" x14ac:dyDescent="0.3">
      <c r="A482">
        <v>1170</v>
      </c>
      <c r="B482" t="s">
        <v>180</v>
      </c>
      <c r="C482" t="s">
        <v>171</v>
      </c>
      <c r="D482" t="s">
        <v>18</v>
      </c>
      <c r="E482" s="1">
        <v>35685</v>
      </c>
      <c r="F482" s="1">
        <v>45686</v>
      </c>
      <c r="G482">
        <v>70</v>
      </c>
      <c r="H482" t="s">
        <v>38</v>
      </c>
      <c r="I482" t="s">
        <v>30</v>
      </c>
      <c r="J482" t="s">
        <v>296</v>
      </c>
      <c r="K482" t="s">
        <v>22</v>
      </c>
      <c r="L482">
        <v>4300</v>
      </c>
      <c r="M482" t="s">
        <v>32</v>
      </c>
      <c r="N482" s="1"/>
      <c r="O482" t="s">
        <v>33</v>
      </c>
      <c r="P482" t="s">
        <v>636</v>
      </c>
    </row>
    <row r="483" spans="1:16" x14ac:dyDescent="0.3">
      <c r="A483">
        <v>1364</v>
      </c>
      <c r="B483" t="s">
        <v>64</v>
      </c>
      <c r="C483" t="s">
        <v>59</v>
      </c>
      <c r="D483" t="s">
        <v>18</v>
      </c>
      <c r="E483" s="1">
        <v>35718</v>
      </c>
      <c r="F483" s="1">
        <v>45078</v>
      </c>
      <c r="G483">
        <v>60</v>
      </c>
      <c r="H483" t="s">
        <v>78</v>
      </c>
      <c r="I483" t="s">
        <v>45</v>
      </c>
      <c r="J483" t="s">
        <v>296</v>
      </c>
      <c r="K483" t="s">
        <v>22</v>
      </c>
      <c r="L483">
        <v>2750</v>
      </c>
      <c r="M483" t="s">
        <v>32</v>
      </c>
      <c r="N483" s="1"/>
      <c r="O483" t="s">
        <v>33</v>
      </c>
      <c r="P483" t="s">
        <v>637</v>
      </c>
    </row>
    <row r="484" spans="1:16" x14ac:dyDescent="0.3">
      <c r="A484">
        <v>1203</v>
      </c>
      <c r="B484" t="s">
        <v>92</v>
      </c>
      <c r="C484" t="s">
        <v>163</v>
      </c>
      <c r="D484" t="s">
        <v>18</v>
      </c>
      <c r="E484" s="1">
        <v>34201</v>
      </c>
      <c r="F484" s="1">
        <v>43070</v>
      </c>
      <c r="G484">
        <v>70</v>
      </c>
      <c r="H484" t="s">
        <v>38</v>
      </c>
      <c r="I484" t="s">
        <v>30</v>
      </c>
      <c r="J484" t="s">
        <v>21</v>
      </c>
      <c r="K484" t="s">
        <v>22</v>
      </c>
      <c r="L484">
        <v>5450</v>
      </c>
      <c r="M484" t="s">
        <v>32</v>
      </c>
      <c r="N484" s="1"/>
      <c r="O484" t="s">
        <v>33</v>
      </c>
      <c r="P484" t="s">
        <v>638</v>
      </c>
    </row>
    <row r="485" spans="1:16" x14ac:dyDescent="0.3">
      <c r="A485">
        <v>1148</v>
      </c>
      <c r="B485" t="s">
        <v>204</v>
      </c>
      <c r="C485" t="s">
        <v>36</v>
      </c>
      <c r="D485" t="s">
        <v>37</v>
      </c>
      <c r="E485" s="1">
        <v>28109</v>
      </c>
      <c r="F485" s="1">
        <v>44117</v>
      </c>
      <c r="G485">
        <v>70</v>
      </c>
      <c r="H485" t="s">
        <v>116</v>
      </c>
      <c r="I485" t="s">
        <v>30</v>
      </c>
      <c r="J485" t="s">
        <v>31</v>
      </c>
      <c r="K485" t="s">
        <v>22</v>
      </c>
      <c r="L485">
        <v>5350</v>
      </c>
      <c r="M485" t="s">
        <v>32</v>
      </c>
      <c r="N485" s="1"/>
      <c r="O485" t="s">
        <v>33</v>
      </c>
      <c r="P485" t="s">
        <v>639</v>
      </c>
    </row>
    <row r="486" spans="1:16" x14ac:dyDescent="0.3">
      <c r="A486">
        <v>1278</v>
      </c>
      <c r="B486" t="s">
        <v>67</v>
      </c>
      <c r="C486" t="s">
        <v>110</v>
      </c>
      <c r="D486" t="s">
        <v>37</v>
      </c>
      <c r="E486" s="1">
        <v>33644</v>
      </c>
      <c r="F486" s="1">
        <v>44702</v>
      </c>
      <c r="G486">
        <v>20</v>
      </c>
      <c r="H486" t="s">
        <v>104</v>
      </c>
      <c r="I486" t="s">
        <v>30</v>
      </c>
      <c r="J486" t="s">
        <v>31</v>
      </c>
      <c r="K486" t="s">
        <v>22</v>
      </c>
      <c r="L486">
        <v>5000</v>
      </c>
      <c r="M486" t="s">
        <v>32</v>
      </c>
      <c r="N486" s="1"/>
      <c r="O486" t="s">
        <v>33</v>
      </c>
      <c r="P486" t="s">
        <v>640</v>
      </c>
    </row>
    <row r="487" spans="1:16" x14ac:dyDescent="0.3">
      <c r="A487">
        <v>1257</v>
      </c>
      <c r="B487" t="s">
        <v>115</v>
      </c>
      <c r="C487" t="s">
        <v>330</v>
      </c>
      <c r="D487" t="s">
        <v>28</v>
      </c>
      <c r="E487" s="1">
        <v>33261</v>
      </c>
      <c r="F487" s="1">
        <v>42710</v>
      </c>
      <c r="G487">
        <v>60</v>
      </c>
      <c r="H487" t="s">
        <v>78</v>
      </c>
      <c r="I487" t="s">
        <v>45</v>
      </c>
      <c r="J487" t="s">
        <v>284</v>
      </c>
      <c r="K487" t="s">
        <v>22</v>
      </c>
      <c r="L487">
        <v>3350</v>
      </c>
      <c r="M487" t="s">
        <v>32</v>
      </c>
      <c r="N487" s="1"/>
      <c r="O487" t="s">
        <v>33</v>
      </c>
      <c r="P487" t="s">
        <v>33</v>
      </c>
    </row>
    <row r="488" spans="1:16" x14ac:dyDescent="0.3">
      <c r="A488">
        <v>1457</v>
      </c>
      <c r="B488" t="s">
        <v>48</v>
      </c>
      <c r="C488" t="s">
        <v>43</v>
      </c>
      <c r="D488" t="s">
        <v>37</v>
      </c>
      <c r="E488" s="1">
        <v>35411</v>
      </c>
      <c r="F488" s="1">
        <v>44937</v>
      </c>
      <c r="G488">
        <v>20</v>
      </c>
      <c r="H488" t="s">
        <v>68</v>
      </c>
      <c r="I488" t="s">
        <v>30</v>
      </c>
      <c r="J488" t="s">
        <v>21</v>
      </c>
      <c r="K488" t="s">
        <v>22</v>
      </c>
      <c r="L488">
        <v>4300</v>
      </c>
      <c r="M488" t="s">
        <v>23</v>
      </c>
      <c r="N488" s="1">
        <v>45207</v>
      </c>
      <c r="O488" t="s">
        <v>117</v>
      </c>
      <c r="P488" t="s">
        <v>641</v>
      </c>
    </row>
    <row r="489" spans="1:16" x14ac:dyDescent="0.3">
      <c r="A489">
        <v>1441</v>
      </c>
      <c r="B489" t="s">
        <v>642</v>
      </c>
      <c r="C489" t="s">
        <v>382</v>
      </c>
      <c r="D489" t="s">
        <v>37</v>
      </c>
      <c r="E489" s="1">
        <v>34243</v>
      </c>
      <c r="F489" s="1">
        <v>42827</v>
      </c>
      <c r="G489">
        <v>10</v>
      </c>
      <c r="H489" t="s">
        <v>49</v>
      </c>
      <c r="I489" t="s">
        <v>39</v>
      </c>
      <c r="J489" t="s">
        <v>61</v>
      </c>
      <c r="K489" t="s">
        <v>22</v>
      </c>
      <c r="L489">
        <v>10550</v>
      </c>
      <c r="M489" t="s">
        <v>32</v>
      </c>
      <c r="N489" s="1"/>
      <c r="O489" t="s">
        <v>33</v>
      </c>
      <c r="P489" t="s">
        <v>643</v>
      </c>
    </row>
    <row r="490" spans="1:16" x14ac:dyDescent="0.3">
      <c r="A490">
        <v>1132</v>
      </c>
      <c r="B490" t="s">
        <v>122</v>
      </c>
      <c r="C490" t="s">
        <v>206</v>
      </c>
      <c r="D490" t="s">
        <v>18</v>
      </c>
      <c r="E490" s="1">
        <v>34527</v>
      </c>
      <c r="F490" s="1">
        <v>42981</v>
      </c>
      <c r="G490">
        <v>20</v>
      </c>
      <c r="H490" t="s">
        <v>68</v>
      </c>
      <c r="I490" t="s">
        <v>45</v>
      </c>
      <c r="J490" t="s">
        <v>46</v>
      </c>
      <c r="K490" t="s">
        <v>22</v>
      </c>
      <c r="L490">
        <v>3200</v>
      </c>
      <c r="M490" t="s">
        <v>23</v>
      </c>
      <c r="N490" s="1">
        <v>43788</v>
      </c>
      <c r="O490" t="s">
        <v>33</v>
      </c>
      <c r="P490" t="s">
        <v>644</v>
      </c>
    </row>
    <row r="491" spans="1:16" x14ac:dyDescent="0.3">
      <c r="A491">
        <v>1250</v>
      </c>
      <c r="B491" t="s">
        <v>396</v>
      </c>
      <c r="C491" t="s">
        <v>107</v>
      </c>
      <c r="D491" t="s">
        <v>37</v>
      </c>
      <c r="E491" s="1">
        <v>35493</v>
      </c>
      <c r="F491" s="1">
        <v>43215</v>
      </c>
      <c r="G491">
        <v>60</v>
      </c>
      <c r="H491" t="s">
        <v>78</v>
      </c>
      <c r="I491" t="s">
        <v>45</v>
      </c>
      <c r="J491" t="s">
        <v>52</v>
      </c>
      <c r="K491" t="s">
        <v>40</v>
      </c>
      <c r="L491">
        <v>2850</v>
      </c>
      <c r="M491" t="s">
        <v>32</v>
      </c>
      <c r="N491" s="1"/>
      <c r="O491" t="s">
        <v>33</v>
      </c>
      <c r="P491" t="s">
        <v>645</v>
      </c>
    </row>
    <row r="492" spans="1:16" x14ac:dyDescent="0.3">
      <c r="A492">
        <v>1153</v>
      </c>
      <c r="B492" t="s">
        <v>161</v>
      </c>
      <c r="C492" t="s">
        <v>43</v>
      </c>
      <c r="D492" t="s">
        <v>37</v>
      </c>
      <c r="E492" s="1">
        <v>26485</v>
      </c>
      <c r="F492" s="1">
        <v>43176</v>
      </c>
      <c r="G492">
        <v>30</v>
      </c>
      <c r="H492" t="s">
        <v>56</v>
      </c>
      <c r="I492" t="s">
        <v>39</v>
      </c>
      <c r="J492" t="s">
        <v>46</v>
      </c>
      <c r="K492" t="s">
        <v>22</v>
      </c>
      <c r="L492">
        <v>9300</v>
      </c>
      <c r="M492" t="s">
        <v>23</v>
      </c>
      <c r="N492" s="1">
        <v>43324</v>
      </c>
      <c r="O492" t="s">
        <v>24</v>
      </c>
      <c r="P492" t="s">
        <v>646</v>
      </c>
    </row>
    <row r="493" spans="1:16" x14ac:dyDescent="0.3">
      <c r="A493">
        <v>1363</v>
      </c>
      <c r="B493" t="s">
        <v>48</v>
      </c>
      <c r="C493" t="s">
        <v>330</v>
      </c>
      <c r="D493" t="s">
        <v>55</v>
      </c>
      <c r="E493" s="1">
        <v>28568</v>
      </c>
      <c r="F493" s="1">
        <v>44687</v>
      </c>
      <c r="G493">
        <v>40</v>
      </c>
      <c r="H493" t="s">
        <v>120</v>
      </c>
      <c r="I493" t="s">
        <v>30</v>
      </c>
      <c r="J493" t="s">
        <v>61</v>
      </c>
      <c r="K493" t="s">
        <v>22</v>
      </c>
      <c r="L493">
        <v>4500</v>
      </c>
      <c r="M493" t="s">
        <v>32</v>
      </c>
      <c r="N493" s="1"/>
      <c r="O493" t="s">
        <v>33</v>
      </c>
      <c r="P493" t="s">
        <v>647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F879-9DA3-4170-B86C-E700BC90365D}">
  <sheetPr>
    <tabColor theme="1" tint="0.499984740745262"/>
  </sheetPr>
  <dimension ref="A1:I1150"/>
  <sheetViews>
    <sheetView showGridLines="0" workbookViewId="0"/>
  </sheetViews>
  <sheetFormatPr defaultRowHeight="14.4" x14ac:dyDescent="0.3"/>
  <cols>
    <col min="1" max="1" width="13" bestFit="1" customWidth="1"/>
    <col min="2" max="2" width="12.109375" bestFit="1" customWidth="1"/>
    <col min="3" max="3" width="13.5546875" bestFit="1" customWidth="1"/>
    <col min="4" max="4" width="18.44140625" bestFit="1" customWidth="1"/>
    <col min="5" max="5" width="19" bestFit="1" customWidth="1"/>
    <col min="6" max="6" width="24.6640625" bestFit="1" customWidth="1"/>
    <col min="7" max="7" width="19.21875" bestFit="1" customWidth="1"/>
    <col min="8" max="8" width="22.33203125" bestFit="1" customWidth="1"/>
    <col min="9" max="9" width="16.109375" bestFit="1" customWidth="1"/>
  </cols>
  <sheetData>
    <row r="1" spans="1:9" x14ac:dyDescent="0.3">
      <c r="A1" t="s">
        <v>659</v>
      </c>
      <c r="B1" t="s">
        <v>0</v>
      </c>
      <c r="C1" t="s">
        <v>660</v>
      </c>
      <c r="D1" t="s">
        <v>661</v>
      </c>
      <c r="E1" t="s">
        <v>662</v>
      </c>
      <c r="F1" t="s">
        <v>663</v>
      </c>
      <c r="G1" t="s">
        <v>664</v>
      </c>
      <c r="H1" t="s">
        <v>665</v>
      </c>
      <c r="I1" t="s">
        <v>666</v>
      </c>
    </row>
    <row r="2" spans="1:9" x14ac:dyDescent="0.3">
      <c r="A2">
        <v>1</v>
      </c>
      <c r="B2">
        <v>1001</v>
      </c>
      <c r="C2">
        <v>2023</v>
      </c>
      <c r="D2">
        <v>3</v>
      </c>
      <c r="E2">
        <v>6</v>
      </c>
      <c r="F2">
        <v>2</v>
      </c>
      <c r="G2">
        <v>35</v>
      </c>
      <c r="H2">
        <v>5</v>
      </c>
      <c r="I2">
        <v>4.9000000000000004</v>
      </c>
    </row>
    <row r="3" spans="1:9" x14ac:dyDescent="0.3">
      <c r="A3">
        <v>4</v>
      </c>
      <c r="B3">
        <v>1002</v>
      </c>
      <c r="C3">
        <v>2023</v>
      </c>
      <c r="D3">
        <v>4</v>
      </c>
      <c r="E3">
        <v>6</v>
      </c>
      <c r="F3">
        <v>0</v>
      </c>
      <c r="G3">
        <v>36</v>
      </c>
      <c r="H3">
        <v>4</v>
      </c>
      <c r="I3">
        <v>7</v>
      </c>
    </row>
    <row r="4" spans="1:9" x14ac:dyDescent="0.3">
      <c r="A4">
        <v>7</v>
      </c>
      <c r="B4">
        <v>1003</v>
      </c>
      <c r="C4">
        <v>2023</v>
      </c>
      <c r="D4">
        <v>3</v>
      </c>
      <c r="F4">
        <v>9</v>
      </c>
      <c r="G4">
        <v>40</v>
      </c>
      <c r="H4">
        <v>9</v>
      </c>
      <c r="I4">
        <v>4.8</v>
      </c>
    </row>
    <row r="5" spans="1:9" x14ac:dyDescent="0.3">
      <c r="A5">
        <v>9</v>
      </c>
      <c r="B5">
        <v>1005</v>
      </c>
      <c r="C5">
        <v>2023</v>
      </c>
      <c r="D5">
        <v>3</v>
      </c>
      <c r="E5">
        <v>4</v>
      </c>
      <c r="F5">
        <v>16</v>
      </c>
      <c r="G5">
        <v>2</v>
      </c>
      <c r="H5">
        <v>8</v>
      </c>
      <c r="I5">
        <v>5.5</v>
      </c>
    </row>
    <row r="6" spans="1:9" x14ac:dyDescent="0.3">
      <c r="A6">
        <v>12</v>
      </c>
      <c r="B6">
        <v>1006</v>
      </c>
      <c r="C6">
        <v>2023</v>
      </c>
      <c r="D6">
        <v>5</v>
      </c>
      <c r="E6">
        <v>7</v>
      </c>
      <c r="F6">
        <v>0</v>
      </c>
      <c r="G6">
        <v>15</v>
      </c>
      <c r="H6">
        <v>5</v>
      </c>
      <c r="I6">
        <v>12.5</v>
      </c>
    </row>
    <row r="7" spans="1:9" x14ac:dyDescent="0.3">
      <c r="A7">
        <v>16</v>
      </c>
      <c r="B7">
        <v>1008</v>
      </c>
      <c r="C7">
        <v>2023</v>
      </c>
      <c r="D7">
        <v>4</v>
      </c>
      <c r="E7">
        <v>3</v>
      </c>
      <c r="F7">
        <v>0</v>
      </c>
      <c r="G7">
        <v>9</v>
      </c>
      <c r="H7">
        <v>7</v>
      </c>
      <c r="I7">
        <v>8.1999999999999993</v>
      </c>
    </row>
    <row r="8" spans="1:9" x14ac:dyDescent="0.3">
      <c r="A8">
        <v>19</v>
      </c>
      <c r="B8">
        <v>1009</v>
      </c>
      <c r="C8">
        <v>2023</v>
      </c>
      <c r="D8">
        <v>3</v>
      </c>
      <c r="E8">
        <v>5</v>
      </c>
      <c r="F8">
        <v>10</v>
      </c>
      <c r="G8">
        <v>31</v>
      </c>
      <c r="H8">
        <v>6</v>
      </c>
      <c r="I8">
        <v>6.2</v>
      </c>
    </row>
    <row r="9" spans="1:9" x14ac:dyDescent="0.3">
      <c r="A9">
        <v>20</v>
      </c>
      <c r="B9">
        <v>1011</v>
      </c>
      <c r="C9">
        <v>2023</v>
      </c>
      <c r="D9">
        <v>3</v>
      </c>
      <c r="E9">
        <v>7</v>
      </c>
      <c r="F9">
        <v>7</v>
      </c>
      <c r="G9">
        <v>4</v>
      </c>
      <c r="H9">
        <v>3</v>
      </c>
      <c r="I9">
        <v>5.4</v>
      </c>
    </row>
    <row r="10" spans="1:9" x14ac:dyDescent="0.3">
      <c r="A10">
        <v>23</v>
      </c>
      <c r="B10">
        <v>1012</v>
      </c>
      <c r="C10">
        <v>2023</v>
      </c>
      <c r="D10">
        <v>4</v>
      </c>
      <c r="E10">
        <v>4</v>
      </c>
      <c r="F10">
        <v>6</v>
      </c>
      <c r="G10">
        <v>14</v>
      </c>
      <c r="H10">
        <v>4</v>
      </c>
      <c r="I10">
        <v>8.1999999999999993</v>
      </c>
    </row>
    <row r="11" spans="1:9" x14ac:dyDescent="0.3">
      <c r="A11">
        <v>24</v>
      </c>
      <c r="B11">
        <v>1014</v>
      </c>
      <c r="C11">
        <v>2023</v>
      </c>
      <c r="D11">
        <v>2</v>
      </c>
      <c r="E11">
        <v>6</v>
      </c>
      <c r="F11">
        <v>9</v>
      </c>
      <c r="G11">
        <v>22</v>
      </c>
      <c r="H11">
        <v>8</v>
      </c>
      <c r="I11">
        <v>1.9</v>
      </c>
    </row>
    <row r="12" spans="1:9" x14ac:dyDescent="0.3">
      <c r="A12">
        <v>29</v>
      </c>
      <c r="B12">
        <v>1016</v>
      </c>
      <c r="C12">
        <v>2023</v>
      </c>
      <c r="D12">
        <v>4</v>
      </c>
      <c r="E12">
        <v>5</v>
      </c>
      <c r="F12">
        <v>4</v>
      </c>
      <c r="G12">
        <v>26</v>
      </c>
      <c r="H12">
        <v>5</v>
      </c>
      <c r="I12">
        <v>8.6</v>
      </c>
    </row>
    <row r="13" spans="1:9" x14ac:dyDescent="0.3">
      <c r="A13">
        <v>32</v>
      </c>
      <c r="B13">
        <v>1017</v>
      </c>
      <c r="C13">
        <v>2023</v>
      </c>
      <c r="D13">
        <v>4</v>
      </c>
      <c r="E13">
        <v>6</v>
      </c>
      <c r="F13">
        <v>1</v>
      </c>
      <c r="G13">
        <v>15</v>
      </c>
      <c r="H13">
        <v>4</v>
      </c>
      <c r="I13">
        <v>9.8000000000000007</v>
      </c>
    </row>
    <row r="14" spans="1:9" x14ac:dyDescent="0.3">
      <c r="A14">
        <v>35</v>
      </c>
      <c r="B14">
        <v>1018</v>
      </c>
      <c r="C14">
        <v>2023</v>
      </c>
      <c r="D14">
        <v>3</v>
      </c>
      <c r="E14">
        <v>6</v>
      </c>
      <c r="F14">
        <v>15</v>
      </c>
      <c r="G14">
        <v>37</v>
      </c>
      <c r="H14">
        <v>2</v>
      </c>
      <c r="I14">
        <v>4.5999999999999996</v>
      </c>
    </row>
    <row r="15" spans="1:9" x14ac:dyDescent="0.3">
      <c r="A15">
        <v>38</v>
      </c>
      <c r="B15">
        <v>1019</v>
      </c>
      <c r="C15">
        <v>2023</v>
      </c>
      <c r="D15">
        <v>4</v>
      </c>
      <c r="E15">
        <v>3</v>
      </c>
      <c r="F15">
        <v>10</v>
      </c>
      <c r="G15">
        <v>12</v>
      </c>
      <c r="H15">
        <v>6</v>
      </c>
      <c r="I15">
        <v>7.5</v>
      </c>
    </row>
    <row r="16" spans="1:9" x14ac:dyDescent="0.3">
      <c r="A16">
        <v>44</v>
      </c>
      <c r="B16">
        <v>1022</v>
      </c>
      <c r="C16">
        <v>2023</v>
      </c>
      <c r="D16">
        <v>3</v>
      </c>
      <c r="E16">
        <v>4</v>
      </c>
      <c r="F16">
        <v>14</v>
      </c>
      <c r="G16">
        <v>33</v>
      </c>
      <c r="H16">
        <v>7</v>
      </c>
      <c r="I16">
        <v>4.8</v>
      </c>
    </row>
    <row r="17" spans="1:9" x14ac:dyDescent="0.3">
      <c r="A17">
        <v>47</v>
      </c>
      <c r="B17">
        <v>1023</v>
      </c>
      <c r="C17">
        <v>2023</v>
      </c>
      <c r="D17">
        <v>5</v>
      </c>
      <c r="E17">
        <v>8</v>
      </c>
      <c r="F17">
        <v>0</v>
      </c>
      <c r="G17">
        <v>15</v>
      </c>
      <c r="H17">
        <v>3</v>
      </c>
      <c r="I17">
        <v>11.8</v>
      </c>
    </row>
    <row r="18" spans="1:9" x14ac:dyDescent="0.3">
      <c r="A18">
        <v>50</v>
      </c>
      <c r="B18">
        <v>1024</v>
      </c>
      <c r="C18">
        <v>2023</v>
      </c>
      <c r="D18">
        <v>4</v>
      </c>
      <c r="E18">
        <v>6</v>
      </c>
      <c r="F18">
        <v>5</v>
      </c>
      <c r="G18">
        <v>22</v>
      </c>
      <c r="H18">
        <v>3</v>
      </c>
      <c r="I18">
        <v>7</v>
      </c>
    </row>
    <row r="19" spans="1:9" x14ac:dyDescent="0.3">
      <c r="A19">
        <v>53</v>
      </c>
      <c r="B19">
        <v>1025</v>
      </c>
      <c r="C19">
        <v>2023</v>
      </c>
      <c r="D19">
        <v>3</v>
      </c>
      <c r="E19">
        <v>7</v>
      </c>
      <c r="F19">
        <v>15</v>
      </c>
      <c r="G19">
        <v>8</v>
      </c>
      <c r="H19">
        <v>5</v>
      </c>
      <c r="I19">
        <v>3.7</v>
      </c>
    </row>
    <row r="20" spans="1:9" x14ac:dyDescent="0.3">
      <c r="A20">
        <v>56</v>
      </c>
      <c r="B20">
        <v>1026</v>
      </c>
      <c r="C20">
        <v>2023</v>
      </c>
      <c r="D20">
        <v>4</v>
      </c>
      <c r="E20">
        <v>6</v>
      </c>
      <c r="F20">
        <v>19</v>
      </c>
      <c r="G20">
        <v>27</v>
      </c>
      <c r="H20">
        <v>8</v>
      </c>
      <c r="I20">
        <v>9.8000000000000007</v>
      </c>
    </row>
    <row r="21" spans="1:9" x14ac:dyDescent="0.3">
      <c r="A21">
        <v>59</v>
      </c>
      <c r="B21">
        <v>1028</v>
      </c>
      <c r="C21">
        <v>2023</v>
      </c>
      <c r="D21">
        <v>4</v>
      </c>
      <c r="E21">
        <v>5</v>
      </c>
      <c r="F21">
        <v>2</v>
      </c>
      <c r="G21">
        <v>28</v>
      </c>
      <c r="H21">
        <v>6</v>
      </c>
      <c r="I21">
        <v>7.2</v>
      </c>
    </row>
    <row r="22" spans="1:9" x14ac:dyDescent="0.3">
      <c r="A22">
        <v>62</v>
      </c>
      <c r="B22">
        <v>1029</v>
      </c>
      <c r="C22">
        <v>2023</v>
      </c>
      <c r="D22">
        <v>5</v>
      </c>
      <c r="E22">
        <v>5</v>
      </c>
      <c r="F22">
        <v>15</v>
      </c>
      <c r="G22">
        <v>32</v>
      </c>
      <c r="H22">
        <v>6</v>
      </c>
      <c r="I22">
        <v>12.1</v>
      </c>
    </row>
    <row r="23" spans="1:9" x14ac:dyDescent="0.3">
      <c r="A23">
        <v>65</v>
      </c>
      <c r="B23">
        <v>1030</v>
      </c>
      <c r="C23">
        <v>2023</v>
      </c>
      <c r="D23">
        <v>4</v>
      </c>
      <c r="E23">
        <v>4</v>
      </c>
      <c r="F23">
        <v>12</v>
      </c>
      <c r="G23">
        <v>29</v>
      </c>
      <c r="H23">
        <v>12</v>
      </c>
      <c r="I23">
        <v>7.6</v>
      </c>
    </row>
    <row r="24" spans="1:9" x14ac:dyDescent="0.3">
      <c r="A24">
        <v>68</v>
      </c>
      <c r="B24">
        <v>1031</v>
      </c>
      <c r="C24">
        <v>2023</v>
      </c>
      <c r="E24">
        <v>8</v>
      </c>
      <c r="F24">
        <v>12</v>
      </c>
      <c r="G24">
        <v>31</v>
      </c>
      <c r="H24">
        <v>3</v>
      </c>
      <c r="I24">
        <v>9.1999999999999993</v>
      </c>
    </row>
    <row r="25" spans="1:9" x14ac:dyDescent="0.3">
      <c r="A25">
        <v>71</v>
      </c>
      <c r="B25">
        <v>1032</v>
      </c>
      <c r="C25">
        <v>2023</v>
      </c>
      <c r="D25">
        <v>4</v>
      </c>
      <c r="E25">
        <v>4</v>
      </c>
      <c r="F25">
        <v>0</v>
      </c>
      <c r="G25">
        <v>31</v>
      </c>
      <c r="H25">
        <v>5</v>
      </c>
      <c r="I25">
        <v>6.8</v>
      </c>
    </row>
    <row r="26" spans="1:9" x14ac:dyDescent="0.3">
      <c r="A26">
        <v>74</v>
      </c>
      <c r="B26">
        <v>1034</v>
      </c>
      <c r="C26">
        <v>2023</v>
      </c>
      <c r="D26">
        <v>2</v>
      </c>
      <c r="E26">
        <v>5</v>
      </c>
      <c r="F26">
        <v>0</v>
      </c>
      <c r="G26">
        <v>12</v>
      </c>
      <c r="H26">
        <v>8</v>
      </c>
      <c r="I26">
        <v>2.9</v>
      </c>
    </row>
    <row r="27" spans="1:9" x14ac:dyDescent="0.3">
      <c r="A27">
        <v>79</v>
      </c>
      <c r="B27">
        <v>1036</v>
      </c>
      <c r="C27">
        <v>2023</v>
      </c>
      <c r="D27">
        <v>3</v>
      </c>
      <c r="E27">
        <v>4</v>
      </c>
      <c r="F27">
        <v>10</v>
      </c>
      <c r="G27">
        <v>21</v>
      </c>
      <c r="H27">
        <v>8</v>
      </c>
      <c r="I27">
        <v>5.6</v>
      </c>
    </row>
    <row r="28" spans="1:9" x14ac:dyDescent="0.3">
      <c r="A28">
        <v>82</v>
      </c>
      <c r="B28">
        <v>1037</v>
      </c>
      <c r="C28">
        <v>2023</v>
      </c>
      <c r="D28">
        <v>4</v>
      </c>
      <c r="E28">
        <v>7</v>
      </c>
      <c r="F28">
        <v>16</v>
      </c>
      <c r="G28">
        <v>24</v>
      </c>
      <c r="H28">
        <v>4</v>
      </c>
      <c r="I28">
        <v>8.8000000000000007</v>
      </c>
    </row>
    <row r="29" spans="1:9" x14ac:dyDescent="0.3">
      <c r="A29">
        <v>85</v>
      </c>
      <c r="B29">
        <v>1038</v>
      </c>
      <c r="C29">
        <v>2023</v>
      </c>
      <c r="D29">
        <v>4</v>
      </c>
      <c r="E29">
        <v>9</v>
      </c>
      <c r="F29">
        <v>9</v>
      </c>
      <c r="G29">
        <v>20</v>
      </c>
      <c r="H29">
        <v>7</v>
      </c>
      <c r="I29">
        <v>9.6999999999999993</v>
      </c>
    </row>
    <row r="30" spans="1:9" x14ac:dyDescent="0.3">
      <c r="A30">
        <v>88</v>
      </c>
      <c r="B30">
        <v>1039</v>
      </c>
      <c r="C30">
        <v>2023</v>
      </c>
      <c r="D30">
        <v>3</v>
      </c>
      <c r="E30">
        <v>4</v>
      </c>
      <c r="F30">
        <v>7</v>
      </c>
      <c r="G30">
        <v>45</v>
      </c>
      <c r="H30">
        <v>7</v>
      </c>
      <c r="I30">
        <v>4.4000000000000004</v>
      </c>
    </row>
    <row r="31" spans="1:9" x14ac:dyDescent="0.3">
      <c r="A31">
        <v>89</v>
      </c>
      <c r="B31">
        <v>1040</v>
      </c>
      <c r="C31">
        <v>2023</v>
      </c>
      <c r="D31">
        <v>4</v>
      </c>
      <c r="E31">
        <v>6</v>
      </c>
      <c r="F31">
        <v>25</v>
      </c>
      <c r="G31">
        <v>27</v>
      </c>
      <c r="H31">
        <v>0</v>
      </c>
      <c r="I31">
        <v>9.4</v>
      </c>
    </row>
    <row r="32" spans="1:9" x14ac:dyDescent="0.3">
      <c r="A32">
        <v>92</v>
      </c>
      <c r="B32">
        <v>1041</v>
      </c>
      <c r="C32">
        <v>2023</v>
      </c>
      <c r="D32">
        <v>5</v>
      </c>
      <c r="E32">
        <v>7</v>
      </c>
      <c r="F32">
        <v>8</v>
      </c>
      <c r="G32">
        <v>33</v>
      </c>
      <c r="H32">
        <v>4</v>
      </c>
      <c r="I32">
        <v>12.5</v>
      </c>
    </row>
    <row r="33" spans="1:9" x14ac:dyDescent="0.3">
      <c r="A33">
        <v>95</v>
      </c>
      <c r="B33">
        <v>1043</v>
      </c>
      <c r="C33">
        <v>2023</v>
      </c>
      <c r="D33">
        <v>3</v>
      </c>
      <c r="E33">
        <v>8</v>
      </c>
      <c r="F33">
        <v>7</v>
      </c>
      <c r="G33">
        <v>32</v>
      </c>
      <c r="H33">
        <v>4</v>
      </c>
      <c r="I33">
        <v>5.9</v>
      </c>
    </row>
    <row r="34" spans="1:9" x14ac:dyDescent="0.3">
      <c r="A34">
        <v>100</v>
      </c>
      <c r="B34">
        <v>1045</v>
      </c>
      <c r="C34">
        <v>2023</v>
      </c>
      <c r="D34">
        <v>2</v>
      </c>
      <c r="E34">
        <v>1</v>
      </c>
      <c r="F34">
        <v>1</v>
      </c>
      <c r="G34">
        <v>6</v>
      </c>
      <c r="H34">
        <v>11</v>
      </c>
      <c r="I34">
        <v>1.2</v>
      </c>
    </row>
    <row r="35" spans="1:9" x14ac:dyDescent="0.3">
      <c r="A35">
        <v>103</v>
      </c>
      <c r="B35">
        <v>1046</v>
      </c>
      <c r="C35">
        <v>2023</v>
      </c>
      <c r="D35">
        <v>3</v>
      </c>
      <c r="E35">
        <v>6</v>
      </c>
      <c r="F35">
        <v>11</v>
      </c>
      <c r="G35">
        <v>31</v>
      </c>
      <c r="H35">
        <v>3</v>
      </c>
      <c r="I35">
        <v>3.2</v>
      </c>
    </row>
    <row r="36" spans="1:9" x14ac:dyDescent="0.3">
      <c r="A36">
        <v>106</v>
      </c>
      <c r="B36">
        <v>1047</v>
      </c>
      <c r="C36">
        <v>2023</v>
      </c>
      <c r="D36">
        <v>4</v>
      </c>
      <c r="E36">
        <v>6</v>
      </c>
      <c r="F36">
        <v>2</v>
      </c>
      <c r="G36">
        <v>21</v>
      </c>
      <c r="H36">
        <v>8</v>
      </c>
      <c r="I36">
        <v>7.5</v>
      </c>
    </row>
    <row r="37" spans="1:9" x14ac:dyDescent="0.3">
      <c r="A37">
        <v>111</v>
      </c>
      <c r="B37">
        <v>1049</v>
      </c>
      <c r="C37">
        <v>2023</v>
      </c>
      <c r="D37">
        <v>3</v>
      </c>
      <c r="E37">
        <v>9</v>
      </c>
      <c r="F37">
        <v>3</v>
      </c>
      <c r="G37">
        <v>11</v>
      </c>
      <c r="H37">
        <v>2</v>
      </c>
      <c r="I37">
        <v>6.6</v>
      </c>
    </row>
    <row r="38" spans="1:9" x14ac:dyDescent="0.3">
      <c r="A38">
        <v>114</v>
      </c>
      <c r="B38">
        <v>1050</v>
      </c>
      <c r="C38">
        <v>2023</v>
      </c>
      <c r="D38">
        <v>4</v>
      </c>
      <c r="E38">
        <v>6</v>
      </c>
      <c r="F38">
        <v>1</v>
      </c>
      <c r="G38">
        <v>27</v>
      </c>
      <c r="H38">
        <v>4</v>
      </c>
      <c r="I38">
        <v>7.5</v>
      </c>
    </row>
    <row r="39" spans="1:9" x14ac:dyDescent="0.3">
      <c r="A39">
        <v>117</v>
      </c>
      <c r="B39">
        <v>1051</v>
      </c>
      <c r="C39">
        <v>2023</v>
      </c>
      <c r="D39">
        <v>3</v>
      </c>
      <c r="E39">
        <v>8</v>
      </c>
      <c r="F39">
        <v>0</v>
      </c>
      <c r="G39">
        <v>25</v>
      </c>
      <c r="H39">
        <v>8</v>
      </c>
      <c r="I39">
        <v>3.9</v>
      </c>
    </row>
    <row r="40" spans="1:9" x14ac:dyDescent="0.3">
      <c r="A40">
        <v>120</v>
      </c>
      <c r="B40">
        <v>1052</v>
      </c>
      <c r="C40">
        <v>2023</v>
      </c>
      <c r="D40">
        <v>3</v>
      </c>
      <c r="E40">
        <v>9</v>
      </c>
      <c r="F40">
        <v>8</v>
      </c>
      <c r="G40">
        <v>20</v>
      </c>
      <c r="H40">
        <v>7</v>
      </c>
      <c r="I40">
        <v>3.6</v>
      </c>
    </row>
    <row r="41" spans="1:9" x14ac:dyDescent="0.3">
      <c r="A41">
        <v>123</v>
      </c>
      <c r="B41">
        <v>1053</v>
      </c>
      <c r="C41">
        <v>2023</v>
      </c>
      <c r="D41">
        <v>3</v>
      </c>
      <c r="E41">
        <v>10</v>
      </c>
      <c r="F41">
        <v>6</v>
      </c>
      <c r="G41">
        <v>3</v>
      </c>
      <c r="H41">
        <v>3</v>
      </c>
      <c r="I41">
        <v>5</v>
      </c>
    </row>
    <row r="42" spans="1:9" x14ac:dyDescent="0.3">
      <c r="A42">
        <v>126</v>
      </c>
      <c r="B42">
        <v>1054</v>
      </c>
      <c r="C42">
        <v>2023</v>
      </c>
      <c r="D42">
        <v>3</v>
      </c>
      <c r="E42">
        <v>6</v>
      </c>
      <c r="F42">
        <v>4</v>
      </c>
      <c r="G42">
        <v>29</v>
      </c>
      <c r="H42">
        <v>5</v>
      </c>
      <c r="I42">
        <v>5.4</v>
      </c>
    </row>
    <row r="43" spans="1:9" x14ac:dyDescent="0.3">
      <c r="A43">
        <v>129</v>
      </c>
      <c r="B43">
        <v>1055</v>
      </c>
      <c r="C43">
        <v>2023</v>
      </c>
      <c r="D43">
        <v>3</v>
      </c>
      <c r="E43">
        <v>4</v>
      </c>
      <c r="F43">
        <v>10</v>
      </c>
      <c r="G43">
        <v>25</v>
      </c>
      <c r="H43">
        <v>8</v>
      </c>
      <c r="I43">
        <v>4.8</v>
      </c>
    </row>
    <row r="44" spans="1:9" x14ac:dyDescent="0.3">
      <c r="A44">
        <v>132</v>
      </c>
      <c r="B44">
        <v>1056</v>
      </c>
      <c r="C44">
        <v>2023</v>
      </c>
      <c r="D44">
        <v>5</v>
      </c>
      <c r="E44">
        <v>3</v>
      </c>
      <c r="F44">
        <v>11</v>
      </c>
      <c r="G44">
        <v>14</v>
      </c>
      <c r="H44">
        <v>3</v>
      </c>
      <c r="I44">
        <v>14</v>
      </c>
    </row>
    <row r="45" spans="1:9" x14ac:dyDescent="0.3">
      <c r="A45">
        <v>137</v>
      </c>
      <c r="B45">
        <v>1058</v>
      </c>
      <c r="C45">
        <v>2023</v>
      </c>
      <c r="D45">
        <v>5</v>
      </c>
      <c r="E45">
        <v>5</v>
      </c>
      <c r="F45">
        <v>0</v>
      </c>
      <c r="G45">
        <v>30</v>
      </c>
      <c r="H45">
        <v>5</v>
      </c>
      <c r="I45">
        <v>10.7</v>
      </c>
    </row>
    <row r="46" spans="1:9" x14ac:dyDescent="0.3">
      <c r="A46">
        <v>140</v>
      </c>
      <c r="B46">
        <v>1059</v>
      </c>
      <c r="C46">
        <v>2023</v>
      </c>
      <c r="D46">
        <v>4</v>
      </c>
      <c r="E46">
        <v>8</v>
      </c>
      <c r="F46">
        <v>5</v>
      </c>
      <c r="G46">
        <v>16</v>
      </c>
      <c r="H46">
        <v>4</v>
      </c>
      <c r="I46">
        <v>6.4</v>
      </c>
    </row>
    <row r="47" spans="1:9" x14ac:dyDescent="0.3">
      <c r="A47">
        <v>144</v>
      </c>
      <c r="B47">
        <v>1062</v>
      </c>
      <c r="C47">
        <v>2023</v>
      </c>
      <c r="D47">
        <v>4</v>
      </c>
      <c r="E47">
        <v>7</v>
      </c>
      <c r="F47">
        <v>13</v>
      </c>
      <c r="G47">
        <v>5</v>
      </c>
      <c r="H47">
        <v>4</v>
      </c>
      <c r="I47">
        <v>9.8000000000000007</v>
      </c>
    </row>
    <row r="48" spans="1:9" x14ac:dyDescent="0.3">
      <c r="A48">
        <v>147</v>
      </c>
      <c r="B48">
        <v>1063</v>
      </c>
      <c r="C48">
        <v>2023</v>
      </c>
      <c r="D48">
        <v>3</v>
      </c>
      <c r="E48">
        <v>5</v>
      </c>
      <c r="F48">
        <v>1</v>
      </c>
      <c r="G48">
        <v>25</v>
      </c>
      <c r="H48">
        <v>4</v>
      </c>
      <c r="I48">
        <v>6.5</v>
      </c>
    </row>
    <row r="49" spans="1:9" x14ac:dyDescent="0.3">
      <c r="A49">
        <v>151</v>
      </c>
      <c r="B49">
        <v>1065</v>
      </c>
      <c r="C49">
        <v>2023</v>
      </c>
      <c r="D49">
        <v>5</v>
      </c>
      <c r="E49">
        <v>7</v>
      </c>
      <c r="F49">
        <v>5</v>
      </c>
      <c r="G49">
        <v>14</v>
      </c>
      <c r="H49">
        <v>1</v>
      </c>
      <c r="I49">
        <v>12.8</v>
      </c>
    </row>
    <row r="50" spans="1:9" x14ac:dyDescent="0.3">
      <c r="A50">
        <v>156</v>
      </c>
      <c r="B50">
        <v>1067</v>
      </c>
      <c r="C50">
        <v>2023</v>
      </c>
      <c r="D50">
        <v>3</v>
      </c>
      <c r="E50">
        <v>7</v>
      </c>
      <c r="F50">
        <v>9</v>
      </c>
      <c r="G50">
        <v>20</v>
      </c>
      <c r="H50">
        <v>3</v>
      </c>
      <c r="I50">
        <v>2.7</v>
      </c>
    </row>
    <row r="51" spans="1:9" x14ac:dyDescent="0.3">
      <c r="A51">
        <v>159</v>
      </c>
      <c r="B51">
        <v>1068</v>
      </c>
      <c r="C51">
        <v>2023</v>
      </c>
      <c r="D51">
        <v>4</v>
      </c>
      <c r="E51">
        <v>6</v>
      </c>
      <c r="F51">
        <v>3</v>
      </c>
      <c r="G51">
        <v>17</v>
      </c>
      <c r="H51">
        <v>3</v>
      </c>
      <c r="I51">
        <v>7.5</v>
      </c>
    </row>
    <row r="52" spans="1:9" x14ac:dyDescent="0.3">
      <c r="A52">
        <v>164</v>
      </c>
      <c r="B52">
        <v>1070</v>
      </c>
      <c r="C52">
        <v>2023</v>
      </c>
      <c r="D52">
        <v>3</v>
      </c>
      <c r="E52">
        <v>6</v>
      </c>
      <c r="F52">
        <v>5</v>
      </c>
      <c r="G52">
        <v>12</v>
      </c>
      <c r="H52">
        <v>9</v>
      </c>
      <c r="I52">
        <v>4.5999999999999996</v>
      </c>
    </row>
    <row r="53" spans="1:9" x14ac:dyDescent="0.3">
      <c r="A53">
        <v>167</v>
      </c>
      <c r="B53">
        <v>1071</v>
      </c>
      <c r="C53">
        <v>2023</v>
      </c>
      <c r="D53">
        <v>5</v>
      </c>
      <c r="E53">
        <v>8</v>
      </c>
      <c r="F53">
        <v>27</v>
      </c>
      <c r="G53">
        <v>28</v>
      </c>
      <c r="H53">
        <v>4</v>
      </c>
      <c r="I53">
        <v>11</v>
      </c>
    </row>
    <row r="54" spans="1:9" x14ac:dyDescent="0.3">
      <c r="A54">
        <v>170</v>
      </c>
      <c r="B54">
        <v>1072</v>
      </c>
      <c r="C54">
        <v>2023</v>
      </c>
      <c r="D54">
        <v>3</v>
      </c>
      <c r="E54">
        <v>6</v>
      </c>
      <c r="F54">
        <v>11</v>
      </c>
      <c r="G54">
        <v>8</v>
      </c>
      <c r="H54">
        <v>2</v>
      </c>
      <c r="I54">
        <v>5.7</v>
      </c>
    </row>
    <row r="55" spans="1:9" x14ac:dyDescent="0.3">
      <c r="A55">
        <v>173</v>
      </c>
      <c r="B55">
        <v>1073</v>
      </c>
      <c r="C55">
        <v>2023</v>
      </c>
      <c r="D55">
        <v>4</v>
      </c>
      <c r="E55">
        <v>7</v>
      </c>
      <c r="F55">
        <v>8</v>
      </c>
      <c r="G55">
        <v>21</v>
      </c>
      <c r="H55">
        <v>6</v>
      </c>
      <c r="I55">
        <v>7.9</v>
      </c>
    </row>
    <row r="56" spans="1:9" x14ac:dyDescent="0.3">
      <c r="A56">
        <v>178</v>
      </c>
      <c r="B56">
        <v>1075</v>
      </c>
      <c r="C56">
        <v>2023</v>
      </c>
      <c r="D56">
        <v>4</v>
      </c>
      <c r="E56">
        <v>6</v>
      </c>
      <c r="F56">
        <v>7</v>
      </c>
      <c r="G56">
        <v>16</v>
      </c>
      <c r="H56">
        <v>6</v>
      </c>
      <c r="I56">
        <v>6.6</v>
      </c>
    </row>
    <row r="57" spans="1:9" x14ac:dyDescent="0.3">
      <c r="A57">
        <v>183</v>
      </c>
      <c r="B57">
        <v>1078</v>
      </c>
      <c r="C57">
        <v>2023</v>
      </c>
      <c r="D57">
        <v>4</v>
      </c>
      <c r="E57">
        <v>8</v>
      </c>
      <c r="F57">
        <v>11</v>
      </c>
      <c r="G57">
        <v>38</v>
      </c>
      <c r="H57">
        <v>6</v>
      </c>
      <c r="I57">
        <v>8.8000000000000007</v>
      </c>
    </row>
    <row r="58" spans="1:9" x14ac:dyDescent="0.3">
      <c r="A58">
        <v>186</v>
      </c>
      <c r="B58">
        <v>1079</v>
      </c>
      <c r="C58">
        <v>2023</v>
      </c>
      <c r="D58">
        <v>3</v>
      </c>
      <c r="E58">
        <v>8</v>
      </c>
      <c r="F58">
        <v>12</v>
      </c>
      <c r="G58">
        <v>28</v>
      </c>
      <c r="H58">
        <v>1</v>
      </c>
      <c r="I58">
        <v>5.9</v>
      </c>
    </row>
    <row r="59" spans="1:9" x14ac:dyDescent="0.3">
      <c r="A59">
        <v>189</v>
      </c>
      <c r="B59">
        <v>1080</v>
      </c>
      <c r="C59">
        <v>2023</v>
      </c>
      <c r="D59">
        <v>2</v>
      </c>
      <c r="E59">
        <v>6</v>
      </c>
      <c r="F59">
        <v>10</v>
      </c>
      <c r="G59">
        <v>18</v>
      </c>
      <c r="H59">
        <v>4</v>
      </c>
      <c r="I59">
        <v>2.4</v>
      </c>
    </row>
    <row r="60" spans="1:9" x14ac:dyDescent="0.3">
      <c r="A60">
        <v>192</v>
      </c>
      <c r="B60">
        <v>1081</v>
      </c>
      <c r="C60">
        <v>2023</v>
      </c>
      <c r="D60">
        <v>3</v>
      </c>
      <c r="E60">
        <v>6</v>
      </c>
      <c r="F60">
        <v>16</v>
      </c>
      <c r="G60">
        <v>25</v>
      </c>
      <c r="H60">
        <v>8</v>
      </c>
      <c r="I60">
        <v>3.6</v>
      </c>
    </row>
    <row r="61" spans="1:9" x14ac:dyDescent="0.3">
      <c r="A61">
        <v>193</v>
      </c>
      <c r="B61">
        <v>1082</v>
      </c>
      <c r="C61">
        <v>2023</v>
      </c>
      <c r="D61">
        <v>4</v>
      </c>
      <c r="E61">
        <v>7</v>
      </c>
      <c r="F61">
        <v>1</v>
      </c>
      <c r="G61">
        <v>27</v>
      </c>
      <c r="H61">
        <v>6</v>
      </c>
      <c r="I61">
        <v>7.8</v>
      </c>
    </row>
    <row r="62" spans="1:9" x14ac:dyDescent="0.3">
      <c r="A62">
        <v>196</v>
      </c>
      <c r="B62">
        <v>1083</v>
      </c>
      <c r="C62">
        <v>2023</v>
      </c>
      <c r="F62">
        <v>9</v>
      </c>
      <c r="G62">
        <v>43</v>
      </c>
      <c r="H62">
        <v>1</v>
      </c>
      <c r="I62">
        <v>13.1</v>
      </c>
    </row>
    <row r="63" spans="1:9" x14ac:dyDescent="0.3">
      <c r="A63">
        <v>199</v>
      </c>
      <c r="B63">
        <v>1084</v>
      </c>
      <c r="C63">
        <v>2023</v>
      </c>
      <c r="D63">
        <v>4</v>
      </c>
      <c r="E63">
        <v>6</v>
      </c>
      <c r="F63">
        <v>11</v>
      </c>
      <c r="G63">
        <v>20</v>
      </c>
      <c r="H63">
        <v>5</v>
      </c>
      <c r="I63">
        <v>8</v>
      </c>
    </row>
    <row r="64" spans="1:9" x14ac:dyDescent="0.3">
      <c r="A64">
        <v>202</v>
      </c>
      <c r="B64">
        <v>1085</v>
      </c>
      <c r="C64">
        <v>2023</v>
      </c>
      <c r="D64">
        <v>4</v>
      </c>
      <c r="E64">
        <v>5</v>
      </c>
      <c r="F64">
        <v>10</v>
      </c>
      <c r="G64">
        <v>22</v>
      </c>
      <c r="H64">
        <v>7</v>
      </c>
      <c r="I64">
        <v>7.6</v>
      </c>
    </row>
    <row r="65" spans="1:9" x14ac:dyDescent="0.3">
      <c r="A65">
        <v>203</v>
      </c>
      <c r="B65">
        <v>1086</v>
      </c>
      <c r="C65">
        <v>2023</v>
      </c>
      <c r="D65">
        <v>3</v>
      </c>
      <c r="E65">
        <v>7</v>
      </c>
      <c r="F65">
        <v>10</v>
      </c>
      <c r="G65">
        <v>30</v>
      </c>
      <c r="H65">
        <v>6</v>
      </c>
      <c r="I65">
        <v>4.2</v>
      </c>
    </row>
    <row r="66" spans="1:9" x14ac:dyDescent="0.3">
      <c r="A66">
        <v>206</v>
      </c>
      <c r="B66">
        <v>1087</v>
      </c>
      <c r="C66">
        <v>2023</v>
      </c>
      <c r="D66">
        <v>5</v>
      </c>
      <c r="E66">
        <v>6</v>
      </c>
      <c r="F66">
        <v>13</v>
      </c>
      <c r="G66">
        <v>33</v>
      </c>
      <c r="H66">
        <v>4</v>
      </c>
      <c r="I66">
        <v>13.2</v>
      </c>
    </row>
    <row r="67" spans="1:9" x14ac:dyDescent="0.3">
      <c r="A67">
        <v>211</v>
      </c>
      <c r="B67">
        <v>1089</v>
      </c>
      <c r="C67">
        <v>2023</v>
      </c>
      <c r="D67">
        <v>5</v>
      </c>
      <c r="E67">
        <v>6</v>
      </c>
      <c r="F67">
        <v>1</v>
      </c>
      <c r="G67">
        <v>28</v>
      </c>
      <c r="H67">
        <v>4</v>
      </c>
      <c r="I67">
        <v>13.1</v>
      </c>
    </row>
    <row r="68" spans="1:9" x14ac:dyDescent="0.3">
      <c r="A68">
        <v>216</v>
      </c>
      <c r="B68">
        <v>1092</v>
      </c>
      <c r="C68">
        <v>2023</v>
      </c>
      <c r="D68">
        <v>3</v>
      </c>
      <c r="E68">
        <v>10</v>
      </c>
      <c r="F68">
        <v>10</v>
      </c>
      <c r="G68">
        <v>28</v>
      </c>
      <c r="H68">
        <v>2</v>
      </c>
      <c r="I68">
        <v>6.4</v>
      </c>
    </row>
    <row r="69" spans="1:9" x14ac:dyDescent="0.3">
      <c r="A69">
        <v>220</v>
      </c>
      <c r="B69">
        <v>1094</v>
      </c>
      <c r="C69">
        <v>2023</v>
      </c>
      <c r="D69">
        <v>2</v>
      </c>
      <c r="F69">
        <v>1</v>
      </c>
      <c r="G69">
        <v>1</v>
      </c>
      <c r="H69">
        <v>5</v>
      </c>
      <c r="I69">
        <v>3</v>
      </c>
    </row>
    <row r="70" spans="1:9" x14ac:dyDescent="0.3">
      <c r="A70">
        <v>223</v>
      </c>
      <c r="B70">
        <v>1095</v>
      </c>
      <c r="C70">
        <v>2023</v>
      </c>
      <c r="D70">
        <v>5</v>
      </c>
      <c r="E70">
        <v>5</v>
      </c>
      <c r="F70">
        <v>17</v>
      </c>
      <c r="G70">
        <v>0</v>
      </c>
      <c r="H70">
        <v>6</v>
      </c>
      <c r="I70">
        <v>14.1</v>
      </c>
    </row>
    <row r="71" spans="1:9" x14ac:dyDescent="0.3">
      <c r="A71">
        <v>224</v>
      </c>
      <c r="B71">
        <v>1096</v>
      </c>
      <c r="C71">
        <v>2023</v>
      </c>
      <c r="D71">
        <v>3</v>
      </c>
      <c r="E71">
        <v>6</v>
      </c>
      <c r="F71">
        <v>12</v>
      </c>
      <c r="G71">
        <v>20</v>
      </c>
      <c r="H71">
        <v>7</v>
      </c>
      <c r="I71">
        <v>4.8</v>
      </c>
    </row>
    <row r="72" spans="1:9" x14ac:dyDescent="0.3">
      <c r="A72">
        <v>227</v>
      </c>
      <c r="B72">
        <v>1098</v>
      </c>
      <c r="C72">
        <v>2023</v>
      </c>
      <c r="E72">
        <v>6</v>
      </c>
      <c r="F72">
        <v>8</v>
      </c>
      <c r="G72">
        <v>15</v>
      </c>
      <c r="H72">
        <v>3</v>
      </c>
      <c r="I72">
        <v>6.5</v>
      </c>
    </row>
    <row r="73" spans="1:9" x14ac:dyDescent="0.3">
      <c r="A73">
        <v>230</v>
      </c>
      <c r="B73">
        <v>1099</v>
      </c>
      <c r="C73">
        <v>2023</v>
      </c>
      <c r="D73">
        <v>3</v>
      </c>
      <c r="E73">
        <v>6</v>
      </c>
      <c r="F73">
        <v>14</v>
      </c>
      <c r="G73">
        <v>37</v>
      </c>
      <c r="H73">
        <v>4</v>
      </c>
      <c r="I73">
        <v>5.7</v>
      </c>
    </row>
    <row r="74" spans="1:9" x14ac:dyDescent="0.3">
      <c r="A74">
        <v>233</v>
      </c>
      <c r="B74">
        <v>1100</v>
      </c>
      <c r="C74">
        <v>2023</v>
      </c>
      <c r="D74">
        <v>4</v>
      </c>
      <c r="F74">
        <v>6</v>
      </c>
      <c r="G74">
        <v>23</v>
      </c>
      <c r="H74">
        <v>7</v>
      </c>
      <c r="I74">
        <v>7.3</v>
      </c>
    </row>
    <row r="75" spans="1:9" x14ac:dyDescent="0.3">
      <c r="A75">
        <v>236</v>
      </c>
      <c r="B75">
        <v>1102</v>
      </c>
      <c r="C75">
        <v>2023</v>
      </c>
      <c r="D75">
        <v>4</v>
      </c>
      <c r="E75">
        <v>7</v>
      </c>
      <c r="F75">
        <v>10</v>
      </c>
      <c r="G75">
        <v>15</v>
      </c>
      <c r="H75">
        <v>2</v>
      </c>
      <c r="I75">
        <v>6.5</v>
      </c>
    </row>
    <row r="76" spans="1:9" x14ac:dyDescent="0.3">
      <c r="A76">
        <v>240</v>
      </c>
      <c r="B76">
        <v>1104</v>
      </c>
      <c r="C76">
        <v>2023</v>
      </c>
      <c r="D76">
        <v>4</v>
      </c>
      <c r="E76">
        <v>3</v>
      </c>
      <c r="F76">
        <v>14</v>
      </c>
      <c r="G76">
        <v>39</v>
      </c>
      <c r="H76">
        <v>10</v>
      </c>
      <c r="I76">
        <v>10.7</v>
      </c>
    </row>
    <row r="77" spans="1:9" x14ac:dyDescent="0.3">
      <c r="A77">
        <v>246</v>
      </c>
      <c r="B77">
        <v>1107</v>
      </c>
      <c r="C77">
        <v>2023</v>
      </c>
      <c r="D77">
        <v>4</v>
      </c>
      <c r="E77">
        <v>6</v>
      </c>
      <c r="F77">
        <v>14</v>
      </c>
      <c r="G77">
        <v>28</v>
      </c>
      <c r="H77">
        <v>5</v>
      </c>
      <c r="I77">
        <v>7.7</v>
      </c>
    </row>
    <row r="78" spans="1:9" x14ac:dyDescent="0.3">
      <c r="A78">
        <v>249</v>
      </c>
      <c r="B78">
        <v>1108</v>
      </c>
      <c r="C78">
        <v>2023</v>
      </c>
      <c r="D78">
        <v>4</v>
      </c>
      <c r="E78">
        <v>3</v>
      </c>
      <c r="F78">
        <v>10</v>
      </c>
      <c r="G78">
        <v>2</v>
      </c>
      <c r="H78">
        <v>6</v>
      </c>
      <c r="I78">
        <v>6.8</v>
      </c>
    </row>
    <row r="79" spans="1:9" x14ac:dyDescent="0.3">
      <c r="A79">
        <v>253</v>
      </c>
      <c r="B79">
        <v>1110</v>
      </c>
      <c r="C79">
        <v>2023</v>
      </c>
      <c r="D79">
        <v>4</v>
      </c>
      <c r="E79">
        <v>4</v>
      </c>
      <c r="F79">
        <v>8</v>
      </c>
      <c r="G79">
        <v>38</v>
      </c>
      <c r="H79">
        <v>8</v>
      </c>
      <c r="I79">
        <v>7.5</v>
      </c>
    </row>
    <row r="80" spans="1:9" x14ac:dyDescent="0.3">
      <c r="A80">
        <v>256</v>
      </c>
      <c r="B80">
        <v>1111</v>
      </c>
      <c r="C80">
        <v>2023</v>
      </c>
      <c r="D80">
        <v>4</v>
      </c>
      <c r="E80">
        <v>7</v>
      </c>
      <c r="F80">
        <v>12</v>
      </c>
      <c r="G80">
        <v>54</v>
      </c>
      <c r="H80">
        <v>5</v>
      </c>
      <c r="I80">
        <v>7.3</v>
      </c>
    </row>
    <row r="81" spans="1:9" x14ac:dyDescent="0.3">
      <c r="A81">
        <v>260</v>
      </c>
      <c r="B81">
        <v>1114</v>
      </c>
      <c r="C81">
        <v>2023</v>
      </c>
      <c r="D81">
        <v>3</v>
      </c>
      <c r="E81">
        <v>7</v>
      </c>
      <c r="F81">
        <v>0</v>
      </c>
      <c r="G81">
        <v>19</v>
      </c>
      <c r="H81">
        <v>3</v>
      </c>
      <c r="I81">
        <v>5.2</v>
      </c>
    </row>
    <row r="82" spans="1:9" x14ac:dyDescent="0.3">
      <c r="A82">
        <v>263</v>
      </c>
      <c r="B82">
        <v>1115</v>
      </c>
      <c r="C82">
        <v>2023</v>
      </c>
      <c r="D82">
        <v>3</v>
      </c>
      <c r="E82">
        <v>8</v>
      </c>
      <c r="F82">
        <v>3</v>
      </c>
      <c r="G82">
        <v>28</v>
      </c>
      <c r="H82">
        <v>2</v>
      </c>
      <c r="I82">
        <v>5.4</v>
      </c>
    </row>
    <row r="83" spans="1:9" x14ac:dyDescent="0.3">
      <c r="A83">
        <v>264</v>
      </c>
      <c r="B83">
        <v>1116</v>
      </c>
      <c r="C83">
        <v>2023</v>
      </c>
      <c r="D83">
        <v>2</v>
      </c>
      <c r="E83">
        <v>7</v>
      </c>
      <c r="F83">
        <v>9</v>
      </c>
      <c r="G83">
        <v>5</v>
      </c>
      <c r="H83">
        <v>5</v>
      </c>
      <c r="I83">
        <v>1.1000000000000001</v>
      </c>
    </row>
    <row r="84" spans="1:9" x14ac:dyDescent="0.3">
      <c r="A84">
        <v>267</v>
      </c>
      <c r="B84">
        <v>1117</v>
      </c>
      <c r="C84">
        <v>2023</v>
      </c>
      <c r="D84">
        <v>3</v>
      </c>
      <c r="E84">
        <v>5</v>
      </c>
      <c r="F84">
        <v>18</v>
      </c>
      <c r="G84">
        <v>5</v>
      </c>
      <c r="H84">
        <v>6</v>
      </c>
      <c r="I84">
        <v>4.3</v>
      </c>
    </row>
    <row r="85" spans="1:9" x14ac:dyDescent="0.3">
      <c r="A85">
        <v>270</v>
      </c>
      <c r="B85">
        <v>1118</v>
      </c>
      <c r="C85">
        <v>2023</v>
      </c>
      <c r="D85">
        <v>3</v>
      </c>
      <c r="E85">
        <v>6</v>
      </c>
      <c r="F85">
        <v>10</v>
      </c>
      <c r="G85">
        <v>26</v>
      </c>
      <c r="H85">
        <v>5</v>
      </c>
      <c r="I85">
        <v>5.7</v>
      </c>
    </row>
    <row r="86" spans="1:9" x14ac:dyDescent="0.3">
      <c r="A86">
        <v>273</v>
      </c>
      <c r="B86">
        <v>1119</v>
      </c>
      <c r="C86">
        <v>2023</v>
      </c>
      <c r="D86">
        <v>4</v>
      </c>
      <c r="E86">
        <v>6</v>
      </c>
      <c r="F86">
        <v>7</v>
      </c>
      <c r="G86">
        <v>24</v>
      </c>
      <c r="H86">
        <v>6</v>
      </c>
      <c r="I86">
        <v>6.6</v>
      </c>
    </row>
    <row r="87" spans="1:9" x14ac:dyDescent="0.3">
      <c r="A87">
        <v>277</v>
      </c>
      <c r="B87">
        <v>1121</v>
      </c>
      <c r="C87">
        <v>2023</v>
      </c>
      <c r="D87">
        <v>4</v>
      </c>
      <c r="E87">
        <v>6</v>
      </c>
      <c r="F87">
        <v>12</v>
      </c>
      <c r="G87">
        <v>11</v>
      </c>
      <c r="H87">
        <v>6</v>
      </c>
      <c r="I87">
        <v>9.1999999999999993</v>
      </c>
    </row>
    <row r="88" spans="1:9" x14ac:dyDescent="0.3">
      <c r="A88">
        <v>280</v>
      </c>
      <c r="B88">
        <v>1122</v>
      </c>
      <c r="C88">
        <v>2023</v>
      </c>
      <c r="D88">
        <v>3</v>
      </c>
      <c r="E88">
        <v>8</v>
      </c>
      <c r="F88">
        <v>7</v>
      </c>
      <c r="G88">
        <v>3</v>
      </c>
      <c r="H88">
        <v>4</v>
      </c>
      <c r="I88">
        <v>5</v>
      </c>
    </row>
    <row r="89" spans="1:9" x14ac:dyDescent="0.3">
      <c r="A89">
        <v>284</v>
      </c>
      <c r="B89">
        <v>1124</v>
      </c>
      <c r="C89">
        <v>2023</v>
      </c>
      <c r="D89">
        <v>4</v>
      </c>
      <c r="E89">
        <v>5</v>
      </c>
      <c r="F89">
        <v>15</v>
      </c>
      <c r="G89">
        <v>14</v>
      </c>
      <c r="H89">
        <v>5</v>
      </c>
      <c r="I89">
        <v>8.8000000000000007</v>
      </c>
    </row>
    <row r="90" spans="1:9" x14ac:dyDescent="0.3">
      <c r="A90">
        <v>287</v>
      </c>
      <c r="B90">
        <v>1126</v>
      </c>
      <c r="C90">
        <v>2023</v>
      </c>
      <c r="D90">
        <v>5</v>
      </c>
      <c r="E90">
        <v>2</v>
      </c>
      <c r="F90">
        <v>10</v>
      </c>
      <c r="G90">
        <v>19</v>
      </c>
      <c r="H90">
        <v>3</v>
      </c>
      <c r="I90">
        <v>13.2</v>
      </c>
    </row>
    <row r="91" spans="1:9" x14ac:dyDescent="0.3">
      <c r="A91">
        <v>290</v>
      </c>
      <c r="B91">
        <v>1127</v>
      </c>
      <c r="C91">
        <v>2023</v>
      </c>
      <c r="D91">
        <v>4</v>
      </c>
      <c r="E91">
        <v>8</v>
      </c>
      <c r="F91">
        <v>0</v>
      </c>
      <c r="G91">
        <v>42</v>
      </c>
      <c r="H91">
        <v>4</v>
      </c>
      <c r="I91">
        <v>8.1</v>
      </c>
    </row>
    <row r="92" spans="1:9" x14ac:dyDescent="0.3">
      <c r="A92">
        <v>294</v>
      </c>
      <c r="B92">
        <v>1129</v>
      </c>
      <c r="C92">
        <v>2023</v>
      </c>
      <c r="D92">
        <v>4</v>
      </c>
      <c r="E92">
        <v>5</v>
      </c>
      <c r="F92">
        <v>8</v>
      </c>
      <c r="G92">
        <v>32</v>
      </c>
      <c r="H92">
        <v>4</v>
      </c>
      <c r="I92">
        <v>7.8</v>
      </c>
    </row>
    <row r="93" spans="1:9" x14ac:dyDescent="0.3">
      <c r="A93">
        <v>298</v>
      </c>
      <c r="B93">
        <v>1131</v>
      </c>
      <c r="C93">
        <v>2023</v>
      </c>
      <c r="D93">
        <v>3</v>
      </c>
      <c r="E93">
        <v>7</v>
      </c>
      <c r="F93">
        <v>6</v>
      </c>
      <c r="G93">
        <v>20</v>
      </c>
      <c r="H93">
        <v>9</v>
      </c>
      <c r="I93">
        <v>7</v>
      </c>
    </row>
    <row r="94" spans="1:9" x14ac:dyDescent="0.3">
      <c r="A94">
        <v>301</v>
      </c>
      <c r="B94">
        <v>1133</v>
      </c>
      <c r="C94">
        <v>2023</v>
      </c>
      <c r="D94">
        <v>3</v>
      </c>
      <c r="E94">
        <v>6</v>
      </c>
      <c r="F94">
        <v>11</v>
      </c>
      <c r="G94">
        <v>24</v>
      </c>
      <c r="H94">
        <v>5</v>
      </c>
      <c r="I94">
        <v>5.0999999999999996</v>
      </c>
    </row>
    <row r="95" spans="1:9" x14ac:dyDescent="0.3">
      <c r="A95">
        <v>304</v>
      </c>
      <c r="B95">
        <v>1134</v>
      </c>
      <c r="C95">
        <v>2023</v>
      </c>
      <c r="D95">
        <v>3</v>
      </c>
      <c r="E95">
        <v>4</v>
      </c>
      <c r="F95">
        <v>11</v>
      </c>
      <c r="G95">
        <v>27</v>
      </c>
      <c r="H95">
        <v>9</v>
      </c>
      <c r="I95">
        <v>4.8</v>
      </c>
    </row>
    <row r="96" spans="1:9" x14ac:dyDescent="0.3">
      <c r="A96">
        <v>307</v>
      </c>
      <c r="B96">
        <v>1135</v>
      </c>
      <c r="C96">
        <v>2023</v>
      </c>
      <c r="D96">
        <v>4</v>
      </c>
      <c r="E96">
        <v>5</v>
      </c>
      <c r="F96">
        <v>9</v>
      </c>
      <c r="G96">
        <v>24</v>
      </c>
      <c r="H96">
        <v>9</v>
      </c>
      <c r="I96">
        <v>8.1999999999999993</v>
      </c>
    </row>
    <row r="97" spans="1:9" x14ac:dyDescent="0.3">
      <c r="A97">
        <v>310</v>
      </c>
      <c r="B97">
        <v>1136</v>
      </c>
      <c r="C97">
        <v>2023</v>
      </c>
      <c r="D97">
        <v>3</v>
      </c>
      <c r="E97">
        <v>8</v>
      </c>
      <c r="F97">
        <v>4</v>
      </c>
      <c r="G97">
        <v>25</v>
      </c>
      <c r="H97">
        <v>4</v>
      </c>
      <c r="I97">
        <v>5.8</v>
      </c>
    </row>
    <row r="98" spans="1:9" x14ac:dyDescent="0.3">
      <c r="A98">
        <v>314</v>
      </c>
      <c r="B98">
        <v>1138</v>
      </c>
      <c r="C98">
        <v>2023</v>
      </c>
      <c r="D98">
        <v>4</v>
      </c>
      <c r="E98">
        <v>8</v>
      </c>
      <c r="F98">
        <v>6</v>
      </c>
      <c r="G98">
        <v>22</v>
      </c>
      <c r="H98">
        <v>6</v>
      </c>
      <c r="I98">
        <v>7.5</v>
      </c>
    </row>
    <row r="99" spans="1:9" x14ac:dyDescent="0.3">
      <c r="A99">
        <v>317</v>
      </c>
      <c r="B99">
        <v>1139</v>
      </c>
      <c r="C99">
        <v>2023</v>
      </c>
      <c r="D99">
        <v>2</v>
      </c>
      <c r="E99">
        <v>7</v>
      </c>
      <c r="F99">
        <v>1</v>
      </c>
      <c r="G99">
        <v>9</v>
      </c>
      <c r="H99">
        <v>1</v>
      </c>
      <c r="I99">
        <v>2.7</v>
      </c>
    </row>
    <row r="100" spans="1:9" x14ac:dyDescent="0.3">
      <c r="A100">
        <v>320</v>
      </c>
      <c r="B100">
        <v>1141</v>
      </c>
      <c r="C100">
        <v>2023</v>
      </c>
      <c r="D100">
        <v>2</v>
      </c>
      <c r="E100">
        <v>9</v>
      </c>
      <c r="F100">
        <v>5</v>
      </c>
      <c r="G100">
        <v>23</v>
      </c>
      <c r="H100">
        <v>3</v>
      </c>
      <c r="I100">
        <v>2</v>
      </c>
    </row>
    <row r="101" spans="1:9" x14ac:dyDescent="0.3">
      <c r="A101">
        <v>321</v>
      </c>
      <c r="B101">
        <v>1142</v>
      </c>
      <c r="C101">
        <v>2023</v>
      </c>
      <c r="D101">
        <v>5</v>
      </c>
      <c r="E101">
        <v>8</v>
      </c>
      <c r="F101">
        <v>4</v>
      </c>
      <c r="G101">
        <v>34</v>
      </c>
      <c r="H101">
        <v>3</v>
      </c>
      <c r="I101">
        <v>11.7</v>
      </c>
    </row>
    <row r="102" spans="1:9" x14ac:dyDescent="0.3">
      <c r="A102">
        <v>324</v>
      </c>
      <c r="B102">
        <v>1143</v>
      </c>
      <c r="C102">
        <v>2023</v>
      </c>
      <c r="D102">
        <v>3</v>
      </c>
      <c r="E102">
        <v>7</v>
      </c>
      <c r="F102">
        <v>3</v>
      </c>
      <c r="G102">
        <v>16</v>
      </c>
      <c r="H102">
        <v>5</v>
      </c>
      <c r="I102">
        <v>6.6</v>
      </c>
    </row>
    <row r="103" spans="1:9" x14ac:dyDescent="0.3">
      <c r="A103">
        <v>327</v>
      </c>
      <c r="B103">
        <v>1144</v>
      </c>
      <c r="C103">
        <v>2023</v>
      </c>
      <c r="D103">
        <v>5</v>
      </c>
      <c r="E103">
        <v>7</v>
      </c>
      <c r="F103">
        <v>0</v>
      </c>
      <c r="G103">
        <v>21</v>
      </c>
      <c r="H103">
        <v>2</v>
      </c>
      <c r="I103">
        <v>11.6</v>
      </c>
    </row>
    <row r="104" spans="1:9" x14ac:dyDescent="0.3">
      <c r="A104">
        <v>330</v>
      </c>
      <c r="B104">
        <v>1145</v>
      </c>
      <c r="C104">
        <v>2023</v>
      </c>
      <c r="D104">
        <v>4</v>
      </c>
      <c r="E104">
        <v>9</v>
      </c>
      <c r="F104">
        <v>18</v>
      </c>
      <c r="G104">
        <v>15</v>
      </c>
      <c r="H104">
        <v>8</v>
      </c>
      <c r="I104">
        <v>6.5</v>
      </c>
    </row>
    <row r="105" spans="1:9" x14ac:dyDescent="0.3">
      <c r="A105">
        <v>333</v>
      </c>
      <c r="B105">
        <v>1146</v>
      </c>
      <c r="C105">
        <v>2023</v>
      </c>
      <c r="D105">
        <v>5</v>
      </c>
      <c r="E105">
        <v>6</v>
      </c>
      <c r="F105">
        <v>6</v>
      </c>
      <c r="G105">
        <v>47</v>
      </c>
      <c r="H105">
        <v>3</v>
      </c>
      <c r="I105">
        <v>12.9</v>
      </c>
    </row>
    <row r="106" spans="1:9" x14ac:dyDescent="0.3">
      <c r="A106">
        <v>336</v>
      </c>
      <c r="B106">
        <v>1147</v>
      </c>
      <c r="C106">
        <v>2023</v>
      </c>
      <c r="D106">
        <v>4</v>
      </c>
      <c r="E106">
        <v>4</v>
      </c>
      <c r="F106">
        <v>16</v>
      </c>
      <c r="G106">
        <v>37</v>
      </c>
      <c r="H106">
        <v>9</v>
      </c>
      <c r="I106">
        <v>8.6999999999999993</v>
      </c>
    </row>
    <row r="107" spans="1:9" x14ac:dyDescent="0.3">
      <c r="A107">
        <v>339</v>
      </c>
      <c r="B107">
        <v>1148</v>
      </c>
      <c r="C107">
        <v>2023</v>
      </c>
      <c r="D107">
        <v>3</v>
      </c>
      <c r="E107">
        <v>3</v>
      </c>
      <c r="F107">
        <v>5</v>
      </c>
      <c r="G107">
        <v>23</v>
      </c>
      <c r="H107">
        <v>7</v>
      </c>
      <c r="I107">
        <v>6.6</v>
      </c>
    </row>
    <row r="108" spans="1:9" x14ac:dyDescent="0.3">
      <c r="A108">
        <v>343</v>
      </c>
      <c r="B108">
        <v>1150</v>
      </c>
      <c r="C108">
        <v>2023</v>
      </c>
      <c r="D108">
        <v>4</v>
      </c>
      <c r="E108">
        <v>6</v>
      </c>
      <c r="F108">
        <v>3</v>
      </c>
      <c r="G108">
        <v>30</v>
      </c>
      <c r="H108">
        <v>3</v>
      </c>
      <c r="I108">
        <v>8.1999999999999993</v>
      </c>
    </row>
    <row r="109" spans="1:9" x14ac:dyDescent="0.3">
      <c r="A109">
        <v>346</v>
      </c>
      <c r="B109">
        <v>1151</v>
      </c>
      <c r="C109">
        <v>2023</v>
      </c>
      <c r="D109">
        <v>3</v>
      </c>
      <c r="E109">
        <v>6</v>
      </c>
      <c r="F109">
        <v>16</v>
      </c>
      <c r="G109">
        <v>19</v>
      </c>
      <c r="H109">
        <v>5</v>
      </c>
      <c r="I109">
        <v>3.9</v>
      </c>
    </row>
    <row r="110" spans="1:9" x14ac:dyDescent="0.3">
      <c r="A110">
        <v>349</v>
      </c>
      <c r="B110">
        <v>1154</v>
      </c>
      <c r="C110">
        <v>2023</v>
      </c>
      <c r="D110">
        <v>4</v>
      </c>
      <c r="E110">
        <v>6</v>
      </c>
      <c r="F110">
        <v>7</v>
      </c>
      <c r="G110">
        <v>29</v>
      </c>
      <c r="H110">
        <v>5</v>
      </c>
      <c r="I110">
        <v>8</v>
      </c>
    </row>
    <row r="111" spans="1:9" x14ac:dyDescent="0.3">
      <c r="A111">
        <v>352</v>
      </c>
      <c r="B111">
        <v>1155</v>
      </c>
      <c r="C111">
        <v>2023</v>
      </c>
      <c r="D111">
        <v>4</v>
      </c>
      <c r="E111">
        <v>9</v>
      </c>
      <c r="F111">
        <v>19</v>
      </c>
      <c r="G111">
        <v>40</v>
      </c>
      <c r="H111">
        <v>2</v>
      </c>
      <c r="I111">
        <v>8.9</v>
      </c>
    </row>
    <row r="112" spans="1:9" x14ac:dyDescent="0.3">
      <c r="A112">
        <v>355</v>
      </c>
      <c r="B112">
        <v>1156</v>
      </c>
      <c r="C112">
        <v>2023</v>
      </c>
      <c r="D112">
        <v>3</v>
      </c>
      <c r="E112">
        <v>6</v>
      </c>
      <c r="F112">
        <v>18</v>
      </c>
      <c r="G112">
        <v>21</v>
      </c>
      <c r="H112">
        <v>3</v>
      </c>
      <c r="I112">
        <v>6.9</v>
      </c>
    </row>
    <row r="113" spans="1:9" x14ac:dyDescent="0.3">
      <c r="A113">
        <v>358</v>
      </c>
      <c r="B113">
        <v>1157</v>
      </c>
      <c r="C113">
        <v>2023</v>
      </c>
      <c r="D113">
        <v>4</v>
      </c>
      <c r="E113">
        <v>8</v>
      </c>
      <c r="F113">
        <v>6</v>
      </c>
      <c r="G113">
        <v>27</v>
      </c>
      <c r="H113">
        <v>2</v>
      </c>
      <c r="I113">
        <v>8.5</v>
      </c>
    </row>
    <row r="114" spans="1:9" x14ac:dyDescent="0.3">
      <c r="A114">
        <v>361</v>
      </c>
      <c r="B114">
        <v>1158</v>
      </c>
      <c r="C114">
        <v>2023</v>
      </c>
      <c r="D114">
        <v>3</v>
      </c>
      <c r="E114">
        <v>77</v>
      </c>
      <c r="F114">
        <v>11</v>
      </c>
      <c r="G114">
        <v>0</v>
      </c>
      <c r="H114">
        <v>7</v>
      </c>
      <c r="I114">
        <v>5.6</v>
      </c>
    </row>
    <row r="115" spans="1:9" x14ac:dyDescent="0.3">
      <c r="A115">
        <v>364</v>
      </c>
      <c r="B115">
        <v>1160</v>
      </c>
      <c r="C115">
        <v>2023</v>
      </c>
      <c r="D115">
        <v>5</v>
      </c>
      <c r="E115">
        <v>4</v>
      </c>
      <c r="F115">
        <v>0</v>
      </c>
      <c r="G115">
        <v>22</v>
      </c>
      <c r="H115">
        <v>7</v>
      </c>
      <c r="I115">
        <v>11.1</v>
      </c>
    </row>
    <row r="116" spans="1:9" x14ac:dyDescent="0.3">
      <c r="A116">
        <v>367</v>
      </c>
      <c r="B116">
        <v>1161</v>
      </c>
      <c r="C116">
        <v>2023</v>
      </c>
      <c r="E116">
        <v>6</v>
      </c>
      <c r="F116">
        <v>5</v>
      </c>
      <c r="G116">
        <v>3</v>
      </c>
      <c r="H116">
        <v>5</v>
      </c>
      <c r="I116">
        <v>4.0999999999999996</v>
      </c>
    </row>
    <row r="117" spans="1:9" x14ac:dyDescent="0.3">
      <c r="A117">
        <v>370</v>
      </c>
      <c r="B117">
        <v>1163</v>
      </c>
      <c r="C117">
        <v>2023</v>
      </c>
      <c r="D117">
        <v>5</v>
      </c>
      <c r="E117">
        <v>8</v>
      </c>
      <c r="F117">
        <v>0</v>
      </c>
      <c r="G117">
        <v>24</v>
      </c>
      <c r="H117">
        <v>4</v>
      </c>
      <c r="I117">
        <v>12.5</v>
      </c>
    </row>
    <row r="118" spans="1:9" x14ac:dyDescent="0.3">
      <c r="A118">
        <v>375</v>
      </c>
      <c r="B118">
        <v>1166</v>
      </c>
      <c r="C118">
        <v>2023</v>
      </c>
      <c r="D118">
        <v>5</v>
      </c>
      <c r="E118">
        <v>6</v>
      </c>
      <c r="F118">
        <v>16</v>
      </c>
      <c r="G118">
        <v>26</v>
      </c>
      <c r="H118">
        <v>4</v>
      </c>
      <c r="I118">
        <v>12.2</v>
      </c>
    </row>
    <row r="119" spans="1:9" x14ac:dyDescent="0.3">
      <c r="A119">
        <v>379</v>
      </c>
      <c r="B119">
        <v>1169</v>
      </c>
      <c r="C119">
        <v>2023</v>
      </c>
      <c r="D119">
        <v>5</v>
      </c>
      <c r="E119">
        <v>4</v>
      </c>
      <c r="F119">
        <v>10</v>
      </c>
      <c r="G119">
        <v>54</v>
      </c>
      <c r="H119">
        <v>9</v>
      </c>
      <c r="I119">
        <v>10.1</v>
      </c>
    </row>
    <row r="120" spans="1:9" x14ac:dyDescent="0.3">
      <c r="A120">
        <v>383</v>
      </c>
      <c r="B120">
        <v>1171</v>
      </c>
      <c r="C120">
        <v>2023</v>
      </c>
      <c r="D120">
        <v>3</v>
      </c>
      <c r="E120">
        <v>6</v>
      </c>
      <c r="F120">
        <v>3</v>
      </c>
      <c r="G120">
        <v>13</v>
      </c>
      <c r="H120">
        <v>1</v>
      </c>
      <c r="I120">
        <v>4.5999999999999996</v>
      </c>
    </row>
    <row r="121" spans="1:9" x14ac:dyDescent="0.3">
      <c r="A121">
        <v>386</v>
      </c>
      <c r="B121">
        <v>1172</v>
      </c>
      <c r="C121">
        <v>2023</v>
      </c>
      <c r="D121">
        <v>4</v>
      </c>
      <c r="E121">
        <v>6</v>
      </c>
      <c r="F121">
        <v>7</v>
      </c>
      <c r="G121">
        <v>20</v>
      </c>
      <c r="H121">
        <v>5</v>
      </c>
      <c r="I121">
        <v>8.1</v>
      </c>
    </row>
    <row r="122" spans="1:9" x14ac:dyDescent="0.3">
      <c r="A122">
        <v>389</v>
      </c>
      <c r="B122">
        <v>1173</v>
      </c>
      <c r="C122">
        <v>2023</v>
      </c>
      <c r="D122">
        <v>3</v>
      </c>
      <c r="E122">
        <v>6</v>
      </c>
      <c r="F122">
        <v>0</v>
      </c>
      <c r="G122">
        <v>41</v>
      </c>
      <c r="H122">
        <v>5</v>
      </c>
      <c r="I122">
        <v>4</v>
      </c>
    </row>
    <row r="123" spans="1:9" x14ac:dyDescent="0.3">
      <c r="A123">
        <v>392</v>
      </c>
      <c r="B123">
        <v>1174</v>
      </c>
      <c r="C123">
        <v>2023</v>
      </c>
      <c r="D123">
        <v>3</v>
      </c>
      <c r="E123">
        <v>6</v>
      </c>
      <c r="F123">
        <v>11</v>
      </c>
      <c r="G123">
        <v>26</v>
      </c>
      <c r="H123">
        <v>2</v>
      </c>
      <c r="I123">
        <v>6</v>
      </c>
    </row>
    <row r="124" spans="1:9" x14ac:dyDescent="0.3">
      <c r="A124">
        <v>395</v>
      </c>
      <c r="B124">
        <v>1175</v>
      </c>
      <c r="C124">
        <v>2023</v>
      </c>
      <c r="D124">
        <v>5</v>
      </c>
      <c r="E124">
        <v>8</v>
      </c>
      <c r="F124">
        <v>6</v>
      </c>
      <c r="G124">
        <v>11</v>
      </c>
      <c r="H124">
        <v>0</v>
      </c>
      <c r="I124">
        <v>12.4</v>
      </c>
    </row>
    <row r="125" spans="1:9" x14ac:dyDescent="0.3">
      <c r="A125">
        <v>398</v>
      </c>
      <c r="B125">
        <v>1176</v>
      </c>
      <c r="C125">
        <v>2023</v>
      </c>
      <c r="D125">
        <v>3</v>
      </c>
      <c r="E125">
        <v>7</v>
      </c>
      <c r="F125">
        <v>0</v>
      </c>
      <c r="G125">
        <v>15</v>
      </c>
      <c r="H125">
        <v>5</v>
      </c>
      <c r="I125">
        <v>5.8</v>
      </c>
    </row>
    <row r="126" spans="1:9" x14ac:dyDescent="0.3">
      <c r="A126">
        <v>401</v>
      </c>
      <c r="B126">
        <v>1177</v>
      </c>
      <c r="C126">
        <v>2023</v>
      </c>
      <c r="D126">
        <v>5</v>
      </c>
      <c r="E126">
        <v>7</v>
      </c>
      <c r="F126">
        <v>0</v>
      </c>
      <c r="G126">
        <v>14</v>
      </c>
      <c r="H126">
        <v>4</v>
      </c>
      <c r="I126">
        <v>13.1</v>
      </c>
    </row>
    <row r="127" spans="1:9" x14ac:dyDescent="0.3">
      <c r="A127">
        <v>404</v>
      </c>
      <c r="B127">
        <v>1178</v>
      </c>
      <c r="C127">
        <v>2023</v>
      </c>
      <c r="D127">
        <v>3</v>
      </c>
      <c r="E127">
        <v>7</v>
      </c>
      <c r="F127">
        <v>2</v>
      </c>
      <c r="G127">
        <v>27</v>
      </c>
      <c r="H127">
        <v>2</v>
      </c>
      <c r="I127">
        <v>4.9000000000000004</v>
      </c>
    </row>
    <row r="128" spans="1:9" x14ac:dyDescent="0.3">
      <c r="A128">
        <v>407</v>
      </c>
      <c r="B128">
        <v>1179</v>
      </c>
      <c r="C128">
        <v>2023</v>
      </c>
      <c r="D128">
        <v>4</v>
      </c>
      <c r="E128">
        <v>9</v>
      </c>
      <c r="F128">
        <v>0</v>
      </c>
      <c r="G128">
        <v>18</v>
      </c>
      <c r="H128">
        <v>3</v>
      </c>
      <c r="I128">
        <v>6.4</v>
      </c>
    </row>
    <row r="129" spans="1:9" x14ac:dyDescent="0.3">
      <c r="A129">
        <v>410</v>
      </c>
      <c r="B129">
        <v>1180</v>
      </c>
      <c r="C129">
        <v>2023</v>
      </c>
      <c r="D129">
        <v>4</v>
      </c>
      <c r="E129">
        <v>7</v>
      </c>
      <c r="F129">
        <v>1</v>
      </c>
      <c r="G129">
        <v>48</v>
      </c>
      <c r="H129">
        <v>1</v>
      </c>
      <c r="I129">
        <v>6</v>
      </c>
    </row>
    <row r="130" spans="1:9" x14ac:dyDescent="0.3">
      <c r="A130">
        <v>413</v>
      </c>
      <c r="B130">
        <v>1181</v>
      </c>
      <c r="C130">
        <v>2023</v>
      </c>
      <c r="D130">
        <v>4</v>
      </c>
      <c r="E130">
        <v>8</v>
      </c>
      <c r="F130">
        <v>10</v>
      </c>
      <c r="G130">
        <v>13</v>
      </c>
      <c r="H130">
        <v>6</v>
      </c>
      <c r="I130">
        <v>8</v>
      </c>
    </row>
    <row r="131" spans="1:9" x14ac:dyDescent="0.3">
      <c r="A131">
        <v>416</v>
      </c>
      <c r="B131">
        <v>1182</v>
      </c>
      <c r="C131">
        <v>2023</v>
      </c>
      <c r="D131">
        <v>2</v>
      </c>
      <c r="E131">
        <v>6</v>
      </c>
      <c r="F131">
        <v>11</v>
      </c>
      <c r="G131">
        <v>30</v>
      </c>
      <c r="H131">
        <v>1</v>
      </c>
      <c r="I131">
        <v>1.4</v>
      </c>
    </row>
    <row r="132" spans="1:9" x14ac:dyDescent="0.3">
      <c r="A132">
        <v>419</v>
      </c>
      <c r="B132">
        <v>1183</v>
      </c>
      <c r="C132">
        <v>2023</v>
      </c>
      <c r="D132">
        <v>3</v>
      </c>
      <c r="E132">
        <v>10</v>
      </c>
      <c r="F132">
        <v>3</v>
      </c>
      <c r="G132">
        <v>23</v>
      </c>
      <c r="H132">
        <v>0</v>
      </c>
      <c r="I132">
        <v>3.9</v>
      </c>
    </row>
    <row r="133" spans="1:9" x14ac:dyDescent="0.3">
      <c r="A133">
        <v>424</v>
      </c>
      <c r="B133">
        <v>1185</v>
      </c>
      <c r="C133">
        <v>2023</v>
      </c>
      <c r="D133">
        <v>2</v>
      </c>
      <c r="E133">
        <v>6</v>
      </c>
      <c r="F133">
        <v>3</v>
      </c>
      <c r="G133">
        <v>31</v>
      </c>
      <c r="H133">
        <v>8</v>
      </c>
      <c r="I133">
        <v>4.9000000000000004</v>
      </c>
    </row>
    <row r="134" spans="1:9" x14ac:dyDescent="0.3">
      <c r="A134">
        <v>427</v>
      </c>
      <c r="B134">
        <v>1187</v>
      </c>
      <c r="C134">
        <v>2023</v>
      </c>
      <c r="D134">
        <v>4</v>
      </c>
      <c r="E134">
        <v>7</v>
      </c>
      <c r="F134">
        <v>12</v>
      </c>
      <c r="G134">
        <v>33</v>
      </c>
      <c r="H134">
        <v>6</v>
      </c>
      <c r="I134">
        <v>8.4</v>
      </c>
    </row>
    <row r="135" spans="1:9" x14ac:dyDescent="0.3">
      <c r="A135">
        <v>431</v>
      </c>
      <c r="B135">
        <v>1189</v>
      </c>
      <c r="C135">
        <v>2023</v>
      </c>
      <c r="D135">
        <v>3</v>
      </c>
      <c r="E135">
        <v>7</v>
      </c>
      <c r="F135">
        <v>2</v>
      </c>
      <c r="G135">
        <v>24</v>
      </c>
      <c r="H135">
        <v>4</v>
      </c>
      <c r="I135">
        <v>7.8</v>
      </c>
    </row>
    <row r="136" spans="1:9" x14ac:dyDescent="0.3">
      <c r="A136">
        <v>436</v>
      </c>
      <c r="B136">
        <v>1192</v>
      </c>
      <c r="C136">
        <v>2023</v>
      </c>
      <c r="D136">
        <v>4</v>
      </c>
      <c r="E136">
        <v>3</v>
      </c>
      <c r="F136">
        <v>6</v>
      </c>
      <c r="G136">
        <v>0</v>
      </c>
      <c r="H136">
        <v>5</v>
      </c>
      <c r="I136">
        <v>8.1999999999999993</v>
      </c>
    </row>
    <row r="137" spans="1:9" x14ac:dyDescent="0.3">
      <c r="A137">
        <v>439</v>
      </c>
      <c r="B137">
        <v>1193</v>
      </c>
      <c r="C137">
        <v>2023</v>
      </c>
      <c r="D137">
        <v>3</v>
      </c>
      <c r="E137">
        <v>7</v>
      </c>
      <c r="F137">
        <v>24</v>
      </c>
      <c r="G137">
        <v>30</v>
      </c>
      <c r="H137">
        <v>5</v>
      </c>
      <c r="I137">
        <v>4.3</v>
      </c>
    </row>
    <row r="138" spans="1:9" x14ac:dyDescent="0.3">
      <c r="A138">
        <v>442</v>
      </c>
      <c r="B138">
        <v>1194</v>
      </c>
      <c r="C138">
        <v>2023</v>
      </c>
      <c r="D138">
        <v>3</v>
      </c>
      <c r="E138">
        <v>5</v>
      </c>
      <c r="F138">
        <v>13</v>
      </c>
      <c r="G138">
        <v>27</v>
      </c>
      <c r="H138">
        <v>3</v>
      </c>
      <c r="I138">
        <v>4.5999999999999996</v>
      </c>
    </row>
    <row r="139" spans="1:9" x14ac:dyDescent="0.3">
      <c r="A139">
        <v>445</v>
      </c>
      <c r="B139">
        <v>1195</v>
      </c>
      <c r="C139">
        <v>2023</v>
      </c>
      <c r="D139">
        <v>4</v>
      </c>
      <c r="E139">
        <v>9</v>
      </c>
      <c r="F139">
        <v>16</v>
      </c>
      <c r="G139">
        <v>43</v>
      </c>
      <c r="H139">
        <v>3</v>
      </c>
      <c r="I139">
        <v>8.1999999999999993</v>
      </c>
    </row>
    <row r="140" spans="1:9" x14ac:dyDescent="0.3">
      <c r="A140">
        <v>448</v>
      </c>
      <c r="B140">
        <v>1196</v>
      </c>
      <c r="C140">
        <v>2023</v>
      </c>
      <c r="D140">
        <v>3</v>
      </c>
      <c r="E140">
        <v>6</v>
      </c>
      <c r="F140">
        <v>7</v>
      </c>
      <c r="G140">
        <v>37</v>
      </c>
      <c r="H140">
        <v>2</v>
      </c>
      <c r="I140">
        <v>5.5</v>
      </c>
    </row>
    <row r="141" spans="1:9" x14ac:dyDescent="0.3">
      <c r="A141">
        <v>453</v>
      </c>
      <c r="B141">
        <v>1198</v>
      </c>
      <c r="C141">
        <v>2023</v>
      </c>
      <c r="D141">
        <v>4</v>
      </c>
      <c r="E141">
        <v>5</v>
      </c>
      <c r="F141">
        <v>4</v>
      </c>
      <c r="G141">
        <v>24</v>
      </c>
      <c r="H141">
        <v>5</v>
      </c>
      <c r="I141">
        <v>8.4</v>
      </c>
    </row>
    <row r="142" spans="1:9" x14ac:dyDescent="0.3">
      <c r="A142">
        <v>456</v>
      </c>
      <c r="B142">
        <v>1199</v>
      </c>
      <c r="C142">
        <v>2023</v>
      </c>
      <c r="D142">
        <v>3</v>
      </c>
      <c r="E142">
        <v>6</v>
      </c>
      <c r="F142">
        <v>11</v>
      </c>
      <c r="G142">
        <v>4</v>
      </c>
      <c r="H142">
        <v>1</v>
      </c>
      <c r="I142">
        <v>4.5999999999999996</v>
      </c>
    </row>
    <row r="143" spans="1:9" x14ac:dyDescent="0.3">
      <c r="A143">
        <v>459</v>
      </c>
      <c r="B143">
        <v>1200</v>
      </c>
      <c r="C143">
        <v>2023</v>
      </c>
      <c r="D143">
        <v>3</v>
      </c>
      <c r="E143">
        <v>9</v>
      </c>
      <c r="F143">
        <v>1</v>
      </c>
      <c r="G143">
        <v>7</v>
      </c>
      <c r="H143">
        <v>3</v>
      </c>
      <c r="I143">
        <v>6</v>
      </c>
    </row>
    <row r="144" spans="1:9" x14ac:dyDescent="0.3">
      <c r="A144">
        <v>462</v>
      </c>
      <c r="B144">
        <v>1201</v>
      </c>
      <c r="C144">
        <v>2023</v>
      </c>
      <c r="D144">
        <v>3</v>
      </c>
      <c r="E144">
        <v>8</v>
      </c>
      <c r="F144">
        <v>0</v>
      </c>
      <c r="G144">
        <v>38</v>
      </c>
      <c r="H144">
        <v>3</v>
      </c>
      <c r="I144">
        <v>4.9000000000000004</v>
      </c>
    </row>
    <row r="145" spans="1:9" x14ac:dyDescent="0.3">
      <c r="A145">
        <v>465</v>
      </c>
      <c r="B145">
        <v>1202</v>
      </c>
      <c r="C145">
        <v>2023</v>
      </c>
      <c r="D145">
        <v>4</v>
      </c>
      <c r="E145">
        <v>6</v>
      </c>
      <c r="F145">
        <v>7</v>
      </c>
      <c r="G145">
        <v>34</v>
      </c>
      <c r="H145">
        <v>10</v>
      </c>
      <c r="I145">
        <v>7.2</v>
      </c>
    </row>
    <row r="146" spans="1:9" x14ac:dyDescent="0.3">
      <c r="A146">
        <v>468</v>
      </c>
      <c r="B146">
        <v>1203</v>
      </c>
      <c r="C146">
        <v>2023</v>
      </c>
      <c r="D146">
        <v>4</v>
      </c>
      <c r="E146">
        <v>5</v>
      </c>
      <c r="F146">
        <v>10</v>
      </c>
      <c r="G146">
        <v>19</v>
      </c>
      <c r="H146">
        <v>3</v>
      </c>
      <c r="I146">
        <v>7.2</v>
      </c>
    </row>
    <row r="147" spans="1:9" x14ac:dyDescent="0.3">
      <c r="A147">
        <v>473</v>
      </c>
      <c r="B147">
        <v>1206</v>
      </c>
      <c r="C147">
        <v>2023</v>
      </c>
      <c r="D147">
        <v>4</v>
      </c>
      <c r="E147">
        <v>9</v>
      </c>
      <c r="F147">
        <v>10</v>
      </c>
      <c r="G147">
        <v>33</v>
      </c>
      <c r="H147">
        <v>5</v>
      </c>
      <c r="I147">
        <v>7.6</v>
      </c>
    </row>
    <row r="148" spans="1:9" x14ac:dyDescent="0.3">
      <c r="A148">
        <v>474</v>
      </c>
      <c r="B148">
        <v>1207</v>
      </c>
      <c r="C148">
        <v>2023</v>
      </c>
      <c r="D148">
        <v>2</v>
      </c>
      <c r="E148">
        <v>6</v>
      </c>
      <c r="F148">
        <v>10</v>
      </c>
      <c r="G148">
        <v>28</v>
      </c>
      <c r="H148">
        <v>5</v>
      </c>
      <c r="I148">
        <v>0.6</v>
      </c>
    </row>
    <row r="149" spans="1:9" x14ac:dyDescent="0.3">
      <c r="A149">
        <v>477</v>
      </c>
      <c r="B149">
        <v>1208</v>
      </c>
      <c r="C149">
        <v>2023</v>
      </c>
      <c r="D149">
        <v>4</v>
      </c>
      <c r="E149">
        <v>7</v>
      </c>
      <c r="F149">
        <v>5</v>
      </c>
      <c r="G149">
        <v>26</v>
      </c>
      <c r="H149">
        <v>4</v>
      </c>
      <c r="I149">
        <v>6.9</v>
      </c>
    </row>
    <row r="150" spans="1:9" x14ac:dyDescent="0.3">
      <c r="A150">
        <v>480</v>
      </c>
      <c r="B150">
        <v>1209</v>
      </c>
      <c r="C150">
        <v>2023</v>
      </c>
      <c r="D150">
        <v>4</v>
      </c>
      <c r="E150">
        <v>0</v>
      </c>
      <c r="F150">
        <v>24</v>
      </c>
      <c r="G150">
        <v>31</v>
      </c>
      <c r="H150">
        <v>7</v>
      </c>
      <c r="I150">
        <v>8.9</v>
      </c>
    </row>
    <row r="151" spans="1:9" x14ac:dyDescent="0.3">
      <c r="A151">
        <v>485</v>
      </c>
      <c r="B151">
        <v>1211</v>
      </c>
      <c r="C151">
        <v>2023</v>
      </c>
      <c r="D151">
        <v>2</v>
      </c>
      <c r="E151">
        <v>9</v>
      </c>
      <c r="F151">
        <v>2</v>
      </c>
      <c r="G151">
        <v>28</v>
      </c>
      <c r="H151">
        <v>5</v>
      </c>
      <c r="I151">
        <v>1.8</v>
      </c>
    </row>
    <row r="152" spans="1:9" x14ac:dyDescent="0.3">
      <c r="A152">
        <v>488</v>
      </c>
      <c r="B152">
        <v>1212</v>
      </c>
      <c r="C152">
        <v>2023</v>
      </c>
      <c r="D152">
        <v>4</v>
      </c>
      <c r="E152">
        <v>10</v>
      </c>
      <c r="F152">
        <v>12</v>
      </c>
      <c r="G152">
        <v>23</v>
      </c>
      <c r="H152">
        <v>3</v>
      </c>
      <c r="I152">
        <v>8.1999999999999993</v>
      </c>
    </row>
    <row r="153" spans="1:9" x14ac:dyDescent="0.3">
      <c r="A153">
        <v>492</v>
      </c>
      <c r="B153">
        <v>1214</v>
      </c>
      <c r="C153">
        <v>2023</v>
      </c>
      <c r="D153">
        <v>4</v>
      </c>
      <c r="E153">
        <v>7</v>
      </c>
      <c r="F153">
        <v>4</v>
      </c>
      <c r="G153">
        <v>24</v>
      </c>
      <c r="H153">
        <v>3</v>
      </c>
      <c r="I153">
        <v>7.4</v>
      </c>
    </row>
    <row r="154" spans="1:9" x14ac:dyDescent="0.3">
      <c r="A154">
        <v>495</v>
      </c>
      <c r="B154">
        <v>1215</v>
      </c>
      <c r="C154">
        <v>2023</v>
      </c>
      <c r="D154">
        <v>3</v>
      </c>
      <c r="E154">
        <v>9</v>
      </c>
      <c r="F154">
        <v>0</v>
      </c>
      <c r="G154">
        <v>11</v>
      </c>
      <c r="H154">
        <v>7</v>
      </c>
      <c r="I154">
        <v>4.5999999999999996</v>
      </c>
    </row>
    <row r="155" spans="1:9" x14ac:dyDescent="0.3">
      <c r="A155">
        <v>498</v>
      </c>
      <c r="B155">
        <v>1216</v>
      </c>
      <c r="C155">
        <v>2023</v>
      </c>
      <c r="D155">
        <v>3</v>
      </c>
      <c r="E155">
        <v>7</v>
      </c>
      <c r="F155">
        <v>2</v>
      </c>
      <c r="G155">
        <v>16</v>
      </c>
      <c r="H155">
        <v>5</v>
      </c>
      <c r="I155">
        <v>5.4</v>
      </c>
    </row>
    <row r="156" spans="1:9" x14ac:dyDescent="0.3">
      <c r="A156">
        <v>501</v>
      </c>
      <c r="B156">
        <v>1217</v>
      </c>
      <c r="C156">
        <v>2023</v>
      </c>
      <c r="D156">
        <v>3</v>
      </c>
      <c r="E156">
        <v>7</v>
      </c>
      <c r="F156">
        <v>11</v>
      </c>
      <c r="G156">
        <v>17</v>
      </c>
      <c r="H156">
        <v>4</v>
      </c>
      <c r="I156">
        <v>4.5</v>
      </c>
    </row>
    <row r="157" spans="1:9" x14ac:dyDescent="0.3">
      <c r="A157">
        <v>504</v>
      </c>
      <c r="B157">
        <v>1218</v>
      </c>
      <c r="C157">
        <v>2023</v>
      </c>
      <c r="D157">
        <v>5</v>
      </c>
      <c r="E157">
        <v>4</v>
      </c>
      <c r="F157">
        <v>4</v>
      </c>
      <c r="G157">
        <v>20</v>
      </c>
      <c r="H157">
        <v>9</v>
      </c>
      <c r="I157">
        <v>12.4</v>
      </c>
    </row>
    <row r="158" spans="1:9" x14ac:dyDescent="0.3">
      <c r="A158">
        <v>510</v>
      </c>
      <c r="B158">
        <v>1224</v>
      </c>
      <c r="C158">
        <v>2023</v>
      </c>
      <c r="D158">
        <v>4</v>
      </c>
      <c r="E158">
        <v>6</v>
      </c>
      <c r="F158">
        <v>13</v>
      </c>
      <c r="G158">
        <v>33</v>
      </c>
      <c r="H158">
        <v>5</v>
      </c>
      <c r="I158">
        <v>6.3</v>
      </c>
    </row>
    <row r="159" spans="1:9" x14ac:dyDescent="0.3">
      <c r="A159">
        <v>513</v>
      </c>
      <c r="B159">
        <v>1225</v>
      </c>
      <c r="C159">
        <v>2023</v>
      </c>
      <c r="D159">
        <v>4</v>
      </c>
      <c r="E159">
        <v>7</v>
      </c>
      <c r="F159">
        <v>0</v>
      </c>
      <c r="G159">
        <v>20</v>
      </c>
      <c r="H159">
        <v>1</v>
      </c>
      <c r="I159">
        <v>9.1999999999999993</v>
      </c>
    </row>
    <row r="160" spans="1:9" x14ac:dyDescent="0.3">
      <c r="A160">
        <v>516</v>
      </c>
      <c r="B160">
        <v>1226</v>
      </c>
      <c r="C160">
        <v>2023</v>
      </c>
      <c r="D160">
        <v>3</v>
      </c>
      <c r="E160">
        <v>7</v>
      </c>
      <c r="F160">
        <v>2</v>
      </c>
      <c r="G160">
        <v>22</v>
      </c>
      <c r="H160">
        <v>5</v>
      </c>
      <c r="I160">
        <v>5.6</v>
      </c>
    </row>
    <row r="161" spans="1:9" x14ac:dyDescent="0.3">
      <c r="A161">
        <v>519</v>
      </c>
      <c r="B161">
        <v>1227</v>
      </c>
      <c r="C161">
        <v>2023</v>
      </c>
      <c r="D161">
        <v>3</v>
      </c>
      <c r="E161">
        <v>4</v>
      </c>
      <c r="F161">
        <v>12</v>
      </c>
      <c r="G161">
        <v>49</v>
      </c>
      <c r="H161">
        <v>8</v>
      </c>
      <c r="I161">
        <v>5.5</v>
      </c>
    </row>
    <row r="162" spans="1:9" x14ac:dyDescent="0.3">
      <c r="A162">
        <v>522</v>
      </c>
      <c r="B162">
        <v>1228</v>
      </c>
      <c r="C162">
        <v>2023</v>
      </c>
      <c r="D162">
        <v>3</v>
      </c>
      <c r="E162">
        <v>6</v>
      </c>
      <c r="F162">
        <v>7</v>
      </c>
      <c r="G162">
        <v>29</v>
      </c>
      <c r="H162">
        <v>3</v>
      </c>
      <c r="I162">
        <v>4.4000000000000004</v>
      </c>
    </row>
    <row r="163" spans="1:9" x14ac:dyDescent="0.3">
      <c r="A163">
        <v>523</v>
      </c>
      <c r="B163">
        <v>1229</v>
      </c>
      <c r="C163">
        <v>2023</v>
      </c>
      <c r="D163">
        <v>4</v>
      </c>
      <c r="E163">
        <v>6</v>
      </c>
      <c r="F163">
        <v>7</v>
      </c>
      <c r="G163">
        <v>20</v>
      </c>
      <c r="H163">
        <v>3</v>
      </c>
      <c r="I163">
        <v>5.7</v>
      </c>
    </row>
    <row r="164" spans="1:9" x14ac:dyDescent="0.3">
      <c r="A164">
        <v>526</v>
      </c>
      <c r="B164">
        <v>1230</v>
      </c>
      <c r="C164">
        <v>2023</v>
      </c>
      <c r="D164">
        <v>3</v>
      </c>
      <c r="E164">
        <v>5</v>
      </c>
      <c r="F164">
        <v>28</v>
      </c>
      <c r="G164">
        <v>25</v>
      </c>
      <c r="H164">
        <v>4</v>
      </c>
      <c r="I164">
        <v>5.0999999999999996</v>
      </c>
    </row>
    <row r="165" spans="1:9" x14ac:dyDescent="0.3">
      <c r="A165">
        <v>529</v>
      </c>
      <c r="B165">
        <v>1231</v>
      </c>
      <c r="C165">
        <v>2023</v>
      </c>
      <c r="D165">
        <v>4</v>
      </c>
      <c r="E165">
        <v>5</v>
      </c>
      <c r="F165">
        <v>4</v>
      </c>
      <c r="G165">
        <v>24</v>
      </c>
      <c r="H165">
        <v>3</v>
      </c>
      <c r="I165">
        <v>6.8</v>
      </c>
    </row>
    <row r="166" spans="1:9" x14ac:dyDescent="0.3">
      <c r="A166">
        <v>533</v>
      </c>
      <c r="B166">
        <v>1233</v>
      </c>
      <c r="C166">
        <v>2023</v>
      </c>
      <c r="D166">
        <v>5</v>
      </c>
      <c r="E166">
        <v>5</v>
      </c>
      <c r="F166">
        <v>1</v>
      </c>
      <c r="G166">
        <v>18</v>
      </c>
      <c r="H166">
        <v>5</v>
      </c>
      <c r="I166">
        <v>12.3</v>
      </c>
    </row>
    <row r="167" spans="1:9" x14ac:dyDescent="0.3">
      <c r="A167">
        <v>536</v>
      </c>
      <c r="B167">
        <v>1234</v>
      </c>
      <c r="C167">
        <v>2023</v>
      </c>
      <c r="D167">
        <v>4</v>
      </c>
      <c r="E167">
        <v>4</v>
      </c>
      <c r="F167">
        <v>9</v>
      </c>
      <c r="G167">
        <v>34</v>
      </c>
      <c r="H167">
        <v>13</v>
      </c>
      <c r="I167">
        <v>7.9</v>
      </c>
    </row>
    <row r="168" spans="1:9" x14ac:dyDescent="0.3">
      <c r="A168">
        <v>537</v>
      </c>
      <c r="B168">
        <v>1235</v>
      </c>
      <c r="C168">
        <v>2023</v>
      </c>
      <c r="D168">
        <v>5</v>
      </c>
      <c r="E168">
        <v>4</v>
      </c>
      <c r="F168">
        <v>16</v>
      </c>
      <c r="G168">
        <v>27</v>
      </c>
      <c r="H168">
        <v>13</v>
      </c>
      <c r="I168">
        <v>12</v>
      </c>
    </row>
    <row r="169" spans="1:9" x14ac:dyDescent="0.3">
      <c r="A169">
        <v>540</v>
      </c>
      <c r="B169">
        <v>1236</v>
      </c>
      <c r="C169">
        <v>2023</v>
      </c>
      <c r="E169">
        <v>4</v>
      </c>
      <c r="F169">
        <v>4</v>
      </c>
      <c r="G169">
        <v>13</v>
      </c>
      <c r="H169">
        <v>9</v>
      </c>
      <c r="I169">
        <v>0.8</v>
      </c>
    </row>
    <row r="170" spans="1:9" x14ac:dyDescent="0.3">
      <c r="A170">
        <v>543</v>
      </c>
      <c r="B170">
        <v>1237</v>
      </c>
      <c r="C170">
        <v>2023</v>
      </c>
      <c r="D170">
        <v>4</v>
      </c>
      <c r="E170">
        <v>6</v>
      </c>
      <c r="F170">
        <v>0</v>
      </c>
      <c r="G170">
        <v>19</v>
      </c>
      <c r="H170">
        <v>8</v>
      </c>
      <c r="I170">
        <v>7.5</v>
      </c>
    </row>
    <row r="171" spans="1:9" x14ac:dyDescent="0.3">
      <c r="A171">
        <v>546</v>
      </c>
      <c r="B171">
        <v>1239</v>
      </c>
      <c r="C171">
        <v>2023</v>
      </c>
      <c r="D171">
        <v>3</v>
      </c>
      <c r="E171">
        <v>6</v>
      </c>
      <c r="F171">
        <v>9</v>
      </c>
      <c r="G171">
        <v>26</v>
      </c>
      <c r="H171">
        <v>2</v>
      </c>
      <c r="I171">
        <v>4.4000000000000004</v>
      </c>
    </row>
    <row r="172" spans="1:9" x14ac:dyDescent="0.3">
      <c r="A172">
        <v>548</v>
      </c>
      <c r="B172">
        <v>1240</v>
      </c>
      <c r="C172">
        <v>2023</v>
      </c>
      <c r="D172">
        <v>2</v>
      </c>
      <c r="E172">
        <v>8</v>
      </c>
      <c r="F172">
        <v>9</v>
      </c>
      <c r="G172">
        <v>14</v>
      </c>
      <c r="H172">
        <v>2</v>
      </c>
      <c r="I172">
        <v>0.9</v>
      </c>
    </row>
    <row r="173" spans="1:9" x14ac:dyDescent="0.3">
      <c r="A173">
        <v>551</v>
      </c>
      <c r="B173">
        <v>1241</v>
      </c>
      <c r="C173">
        <v>2023</v>
      </c>
      <c r="D173">
        <v>4</v>
      </c>
      <c r="E173">
        <v>5</v>
      </c>
      <c r="F173">
        <v>9</v>
      </c>
      <c r="G173">
        <v>21</v>
      </c>
      <c r="H173">
        <v>7</v>
      </c>
      <c r="I173">
        <v>8.4</v>
      </c>
    </row>
    <row r="174" spans="1:9" x14ac:dyDescent="0.3">
      <c r="A174">
        <v>554</v>
      </c>
      <c r="B174">
        <v>1242</v>
      </c>
      <c r="C174">
        <v>2023</v>
      </c>
      <c r="D174">
        <v>2</v>
      </c>
      <c r="E174">
        <v>5</v>
      </c>
      <c r="F174">
        <v>13</v>
      </c>
      <c r="G174">
        <v>9</v>
      </c>
      <c r="H174">
        <v>9</v>
      </c>
      <c r="I174">
        <v>0.7</v>
      </c>
    </row>
    <row r="175" spans="1:9" x14ac:dyDescent="0.3">
      <c r="A175">
        <v>559</v>
      </c>
      <c r="B175">
        <v>1245</v>
      </c>
      <c r="C175">
        <v>2023</v>
      </c>
      <c r="D175">
        <v>3</v>
      </c>
      <c r="E175">
        <v>6</v>
      </c>
      <c r="F175">
        <v>4</v>
      </c>
      <c r="G175">
        <v>29</v>
      </c>
      <c r="H175">
        <v>3</v>
      </c>
      <c r="I175">
        <v>4</v>
      </c>
    </row>
    <row r="176" spans="1:9" x14ac:dyDescent="0.3">
      <c r="A176">
        <v>562</v>
      </c>
      <c r="B176">
        <v>1246</v>
      </c>
      <c r="C176">
        <v>2023</v>
      </c>
      <c r="D176">
        <v>3</v>
      </c>
      <c r="E176">
        <v>10</v>
      </c>
      <c r="F176">
        <v>8</v>
      </c>
      <c r="G176">
        <v>39</v>
      </c>
      <c r="H176">
        <v>4</v>
      </c>
      <c r="I176">
        <v>5</v>
      </c>
    </row>
    <row r="177" spans="1:9" x14ac:dyDescent="0.3">
      <c r="A177">
        <v>565</v>
      </c>
      <c r="B177">
        <v>1247</v>
      </c>
      <c r="C177">
        <v>2023</v>
      </c>
      <c r="D177">
        <v>5</v>
      </c>
      <c r="E177">
        <v>9</v>
      </c>
      <c r="F177">
        <v>2</v>
      </c>
      <c r="G177">
        <v>40</v>
      </c>
      <c r="H177">
        <v>5</v>
      </c>
      <c r="I177">
        <v>13.7</v>
      </c>
    </row>
    <row r="178" spans="1:9" x14ac:dyDescent="0.3">
      <c r="A178">
        <v>568</v>
      </c>
      <c r="B178">
        <v>1248</v>
      </c>
      <c r="C178">
        <v>2023</v>
      </c>
      <c r="D178">
        <v>4</v>
      </c>
      <c r="E178">
        <v>9</v>
      </c>
      <c r="F178">
        <v>13</v>
      </c>
      <c r="G178">
        <v>35</v>
      </c>
      <c r="H178">
        <v>4</v>
      </c>
      <c r="I178">
        <v>10</v>
      </c>
    </row>
    <row r="179" spans="1:9" x14ac:dyDescent="0.3">
      <c r="A179">
        <v>571</v>
      </c>
      <c r="B179">
        <v>1249</v>
      </c>
      <c r="C179">
        <v>2023</v>
      </c>
      <c r="D179">
        <v>3</v>
      </c>
      <c r="E179">
        <v>8</v>
      </c>
      <c r="F179">
        <v>3</v>
      </c>
      <c r="G179">
        <v>19</v>
      </c>
      <c r="H179">
        <v>3</v>
      </c>
      <c r="I179">
        <v>4.8</v>
      </c>
    </row>
    <row r="180" spans="1:9" x14ac:dyDescent="0.3">
      <c r="A180">
        <v>574</v>
      </c>
      <c r="B180">
        <v>1250</v>
      </c>
      <c r="C180">
        <v>2023</v>
      </c>
      <c r="D180">
        <v>3</v>
      </c>
      <c r="E180">
        <v>7</v>
      </c>
      <c r="F180">
        <v>4</v>
      </c>
      <c r="G180">
        <v>22</v>
      </c>
      <c r="H180">
        <v>3</v>
      </c>
      <c r="I180">
        <v>6.1</v>
      </c>
    </row>
    <row r="181" spans="1:9" x14ac:dyDescent="0.3">
      <c r="A181">
        <v>579</v>
      </c>
      <c r="B181">
        <v>1252</v>
      </c>
      <c r="C181">
        <v>2023</v>
      </c>
      <c r="D181">
        <v>3</v>
      </c>
      <c r="E181">
        <v>6</v>
      </c>
      <c r="F181">
        <v>8</v>
      </c>
      <c r="G181">
        <v>18</v>
      </c>
      <c r="H181">
        <v>1</v>
      </c>
      <c r="I181">
        <v>6.2</v>
      </c>
    </row>
    <row r="182" spans="1:9" x14ac:dyDescent="0.3">
      <c r="A182">
        <v>582</v>
      </c>
      <c r="B182">
        <v>1253</v>
      </c>
      <c r="C182">
        <v>2023</v>
      </c>
      <c r="D182">
        <v>4</v>
      </c>
      <c r="E182">
        <v>8</v>
      </c>
      <c r="F182">
        <v>7</v>
      </c>
      <c r="G182">
        <v>42</v>
      </c>
      <c r="H182">
        <v>2</v>
      </c>
      <c r="I182">
        <v>7.2</v>
      </c>
    </row>
    <row r="183" spans="1:9" x14ac:dyDescent="0.3">
      <c r="A183">
        <v>583</v>
      </c>
      <c r="B183">
        <v>1254</v>
      </c>
      <c r="C183">
        <v>2023</v>
      </c>
      <c r="D183">
        <v>3</v>
      </c>
      <c r="E183">
        <v>8</v>
      </c>
      <c r="F183">
        <v>5</v>
      </c>
      <c r="G183">
        <v>50</v>
      </c>
      <c r="H183">
        <v>3</v>
      </c>
      <c r="I183">
        <v>4.5</v>
      </c>
    </row>
    <row r="184" spans="1:9" x14ac:dyDescent="0.3">
      <c r="A184">
        <v>586</v>
      </c>
      <c r="B184">
        <v>1255</v>
      </c>
      <c r="C184">
        <v>2023</v>
      </c>
      <c r="D184">
        <v>4</v>
      </c>
      <c r="E184">
        <v>5</v>
      </c>
      <c r="F184">
        <v>16</v>
      </c>
      <c r="G184">
        <v>35</v>
      </c>
      <c r="H184">
        <v>4</v>
      </c>
      <c r="I184">
        <v>7.5</v>
      </c>
    </row>
    <row r="185" spans="1:9" x14ac:dyDescent="0.3">
      <c r="A185">
        <v>587</v>
      </c>
      <c r="B185">
        <v>1256</v>
      </c>
      <c r="C185">
        <v>2023</v>
      </c>
      <c r="D185">
        <v>4</v>
      </c>
      <c r="E185">
        <v>5</v>
      </c>
      <c r="F185">
        <v>0</v>
      </c>
      <c r="G185">
        <v>30</v>
      </c>
      <c r="H185">
        <v>9</v>
      </c>
      <c r="I185">
        <v>7.5</v>
      </c>
    </row>
    <row r="186" spans="1:9" x14ac:dyDescent="0.3">
      <c r="A186">
        <v>590</v>
      </c>
      <c r="B186">
        <v>1257</v>
      </c>
      <c r="C186">
        <v>2023</v>
      </c>
      <c r="D186">
        <v>3</v>
      </c>
      <c r="E186">
        <v>6</v>
      </c>
      <c r="F186">
        <v>6</v>
      </c>
      <c r="G186">
        <v>17</v>
      </c>
      <c r="H186">
        <v>4</v>
      </c>
      <c r="I186">
        <v>4.9000000000000004</v>
      </c>
    </row>
    <row r="187" spans="1:9" x14ac:dyDescent="0.3">
      <c r="A187">
        <v>593</v>
      </c>
      <c r="B187">
        <v>1258</v>
      </c>
      <c r="C187">
        <v>2023</v>
      </c>
      <c r="D187">
        <v>4</v>
      </c>
      <c r="E187">
        <v>6</v>
      </c>
      <c r="F187">
        <v>10</v>
      </c>
      <c r="G187">
        <v>35</v>
      </c>
      <c r="H187">
        <v>1</v>
      </c>
      <c r="I187">
        <v>8.8000000000000007</v>
      </c>
    </row>
    <row r="188" spans="1:9" x14ac:dyDescent="0.3">
      <c r="A188">
        <v>596</v>
      </c>
      <c r="B188">
        <v>1259</v>
      </c>
      <c r="C188">
        <v>2023</v>
      </c>
      <c r="D188">
        <v>4</v>
      </c>
      <c r="E188">
        <v>8</v>
      </c>
      <c r="F188">
        <v>10</v>
      </c>
      <c r="G188">
        <v>25</v>
      </c>
      <c r="H188">
        <v>1</v>
      </c>
      <c r="I188">
        <v>8.5</v>
      </c>
    </row>
    <row r="189" spans="1:9" x14ac:dyDescent="0.3">
      <c r="A189">
        <v>599</v>
      </c>
      <c r="B189">
        <v>1260</v>
      </c>
      <c r="C189">
        <v>2023</v>
      </c>
      <c r="D189">
        <v>3</v>
      </c>
      <c r="E189">
        <v>5</v>
      </c>
      <c r="F189">
        <v>1</v>
      </c>
      <c r="G189">
        <v>9</v>
      </c>
      <c r="H189">
        <v>2</v>
      </c>
      <c r="I189">
        <v>6.2</v>
      </c>
    </row>
    <row r="190" spans="1:9" x14ac:dyDescent="0.3">
      <c r="A190">
        <v>602</v>
      </c>
      <c r="B190">
        <v>1261</v>
      </c>
      <c r="C190">
        <v>2023</v>
      </c>
      <c r="D190">
        <v>3</v>
      </c>
      <c r="E190">
        <v>5</v>
      </c>
      <c r="F190">
        <v>14</v>
      </c>
      <c r="G190">
        <v>37</v>
      </c>
      <c r="H190">
        <v>7</v>
      </c>
      <c r="I190">
        <v>5.9</v>
      </c>
    </row>
    <row r="191" spans="1:9" x14ac:dyDescent="0.3">
      <c r="A191">
        <v>606</v>
      </c>
      <c r="B191">
        <v>1263</v>
      </c>
      <c r="C191">
        <v>2023</v>
      </c>
      <c r="D191">
        <v>2</v>
      </c>
      <c r="E191">
        <v>6</v>
      </c>
      <c r="F191">
        <v>14</v>
      </c>
      <c r="G191">
        <v>27</v>
      </c>
      <c r="H191">
        <v>7</v>
      </c>
      <c r="I191">
        <v>2.2000000000000002</v>
      </c>
    </row>
    <row r="192" spans="1:9" x14ac:dyDescent="0.3">
      <c r="A192">
        <v>610</v>
      </c>
      <c r="B192">
        <v>1265</v>
      </c>
      <c r="C192">
        <v>2023</v>
      </c>
      <c r="D192">
        <v>4</v>
      </c>
      <c r="E192">
        <v>8</v>
      </c>
      <c r="F192">
        <v>1</v>
      </c>
      <c r="G192">
        <v>18</v>
      </c>
      <c r="H192">
        <v>5</v>
      </c>
      <c r="I192">
        <v>8.1</v>
      </c>
    </row>
    <row r="193" spans="1:9" x14ac:dyDescent="0.3">
      <c r="A193">
        <v>613</v>
      </c>
      <c r="B193">
        <v>1266</v>
      </c>
      <c r="C193">
        <v>2023</v>
      </c>
      <c r="D193">
        <v>3</v>
      </c>
      <c r="E193">
        <v>7</v>
      </c>
      <c r="F193">
        <v>10</v>
      </c>
      <c r="G193">
        <v>23</v>
      </c>
      <c r="H193">
        <v>5</v>
      </c>
      <c r="I193">
        <v>5.0999999999999996</v>
      </c>
    </row>
    <row r="194" spans="1:9" x14ac:dyDescent="0.3">
      <c r="A194">
        <v>616</v>
      </c>
      <c r="B194">
        <v>1267</v>
      </c>
      <c r="C194">
        <v>2023</v>
      </c>
      <c r="D194">
        <v>4</v>
      </c>
      <c r="F194">
        <v>15</v>
      </c>
      <c r="G194">
        <v>26</v>
      </c>
      <c r="H194">
        <v>3</v>
      </c>
      <c r="I194">
        <v>8.6</v>
      </c>
    </row>
    <row r="195" spans="1:9" x14ac:dyDescent="0.3">
      <c r="A195">
        <v>619</v>
      </c>
      <c r="B195">
        <v>1268</v>
      </c>
      <c r="C195">
        <v>2023</v>
      </c>
      <c r="D195">
        <v>3</v>
      </c>
      <c r="E195">
        <v>6</v>
      </c>
      <c r="F195">
        <v>16</v>
      </c>
      <c r="G195">
        <v>17</v>
      </c>
      <c r="H195">
        <v>4</v>
      </c>
      <c r="I195">
        <v>5.9</v>
      </c>
    </row>
    <row r="196" spans="1:9" x14ac:dyDescent="0.3">
      <c r="A196">
        <v>622</v>
      </c>
      <c r="B196">
        <v>1269</v>
      </c>
      <c r="C196">
        <v>2023</v>
      </c>
      <c r="D196">
        <v>3</v>
      </c>
      <c r="E196">
        <v>6</v>
      </c>
      <c r="F196">
        <v>8</v>
      </c>
      <c r="G196">
        <v>32</v>
      </c>
      <c r="H196">
        <v>4</v>
      </c>
      <c r="I196">
        <v>4.5</v>
      </c>
    </row>
    <row r="197" spans="1:9" x14ac:dyDescent="0.3">
      <c r="A197">
        <v>628</v>
      </c>
      <c r="B197">
        <v>1272</v>
      </c>
      <c r="C197">
        <v>2023</v>
      </c>
      <c r="D197">
        <v>4</v>
      </c>
      <c r="E197">
        <v>4</v>
      </c>
      <c r="F197">
        <v>7</v>
      </c>
      <c r="G197">
        <v>37</v>
      </c>
      <c r="H197">
        <v>8</v>
      </c>
      <c r="I197">
        <v>8.6</v>
      </c>
    </row>
    <row r="198" spans="1:9" x14ac:dyDescent="0.3">
      <c r="A198">
        <v>631</v>
      </c>
      <c r="B198">
        <v>1274</v>
      </c>
      <c r="C198">
        <v>2023</v>
      </c>
      <c r="D198">
        <v>4</v>
      </c>
      <c r="F198">
        <v>14</v>
      </c>
      <c r="G198">
        <v>55</v>
      </c>
      <c r="H198">
        <v>6</v>
      </c>
      <c r="I198">
        <v>7.4</v>
      </c>
    </row>
    <row r="199" spans="1:9" x14ac:dyDescent="0.3">
      <c r="A199">
        <v>634</v>
      </c>
      <c r="B199">
        <v>1275</v>
      </c>
      <c r="C199">
        <v>2023</v>
      </c>
      <c r="D199">
        <v>4</v>
      </c>
      <c r="E199">
        <v>9</v>
      </c>
      <c r="F199">
        <v>11</v>
      </c>
      <c r="G199">
        <v>22</v>
      </c>
      <c r="H199">
        <v>7</v>
      </c>
      <c r="I199">
        <v>7.2</v>
      </c>
    </row>
    <row r="200" spans="1:9" x14ac:dyDescent="0.3">
      <c r="A200">
        <v>637</v>
      </c>
      <c r="B200">
        <v>1276</v>
      </c>
      <c r="C200">
        <v>2023</v>
      </c>
      <c r="D200">
        <v>2</v>
      </c>
      <c r="E200">
        <v>6</v>
      </c>
      <c r="F200">
        <v>6</v>
      </c>
      <c r="G200">
        <v>22</v>
      </c>
      <c r="H200">
        <v>3</v>
      </c>
      <c r="I200">
        <v>2.6</v>
      </c>
    </row>
    <row r="201" spans="1:9" x14ac:dyDescent="0.3">
      <c r="A201">
        <v>640</v>
      </c>
      <c r="B201">
        <v>1278</v>
      </c>
      <c r="C201">
        <v>2023</v>
      </c>
      <c r="D201">
        <v>3</v>
      </c>
      <c r="E201">
        <v>8</v>
      </c>
      <c r="F201">
        <v>7</v>
      </c>
      <c r="G201">
        <v>24</v>
      </c>
      <c r="H201">
        <v>11</v>
      </c>
      <c r="I201">
        <v>3.1</v>
      </c>
    </row>
    <row r="202" spans="1:9" x14ac:dyDescent="0.3">
      <c r="A202">
        <v>644</v>
      </c>
      <c r="B202">
        <v>1280</v>
      </c>
      <c r="C202">
        <v>2023</v>
      </c>
      <c r="D202">
        <v>4</v>
      </c>
      <c r="E202">
        <v>7</v>
      </c>
      <c r="F202">
        <v>3</v>
      </c>
      <c r="G202">
        <v>31</v>
      </c>
      <c r="H202">
        <v>3</v>
      </c>
      <c r="I202">
        <v>9.1</v>
      </c>
    </row>
    <row r="203" spans="1:9" x14ac:dyDescent="0.3">
      <c r="A203">
        <v>647</v>
      </c>
      <c r="B203">
        <v>1281</v>
      </c>
      <c r="C203">
        <v>2023</v>
      </c>
      <c r="D203">
        <v>4</v>
      </c>
      <c r="E203">
        <v>6</v>
      </c>
      <c r="F203">
        <v>2</v>
      </c>
      <c r="G203">
        <v>14</v>
      </c>
      <c r="H203">
        <v>1</v>
      </c>
      <c r="I203">
        <v>9.1</v>
      </c>
    </row>
    <row r="204" spans="1:9" x14ac:dyDescent="0.3">
      <c r="A204">
        <v>651</v>
      </c>
      <c r="B204">
        <v>1283</v>
      </c>
      <c r="C204">
        <v>2023</v>
      </c>
      <c r="D204">
        <v>3</v>
      </c>
      <c r="E204">
        <v>10</v>
      </c>
      <c r="F204">
        <v>7</v>
      </c>
      <c r="G204">
        <v>20</v>
      </c>
      <c r="H204">
        <v>5</v>
      </c>
      <c r="I204">
        <v>4</v>
      </c>
    </row>
    <row r="205" spans="1:9" x14ac:dyDescent="0.3">
      <c r="A205">
        <v>654</v>
      </c>
      <c r="B205">
        <v>1284</v>
      </c>
      <c r="C205">
        <v>2023</v>
      </c>
      <c r="D205">
        <v>4</v>
      </c>
      <c r="E205">
        <v>9</v>
      </c>
      <c r="F205">
        <v>7</v>
      </c>
      <c r="G205">
        <v>20</v>
      </c>
      <c r="H205">
        <v>5</v>
      </c>
      <c r="I205">
        <v>8.1999999999999993</v>
      </c>
    </row>
    <row r="206" spans="1:9" x14ac:dyDescent="0.3">
      <c r="A206">
        <v>657</v>
      </c>
      <c r="B206">
        <v>1285</v>
      </c>
      <c r="C206">
        <v>2023</v>
      </c>
      <c r="D206">
        <v>5</v>
      </c>
      <c r="F206">
        <v>1</v>
      </c>
      <c r="G206">
        <v>27</v>
      </c>
      <c r="H206">
        <v>4</v>
      </c>
      <c r="I206">
        <v>13.3</v>
      </c>
    </row>
    <row r="207" spans="1:9" x14ac:dyDescent="0.3">
      <c r="A207">
        <v>660</v>
      </c>
      <c r="B207">
        <v>1286</v>
      </c>
      <c r="C207">
        <v>2023</v>
      </c>
      <c r="D207">
        <v>3</v>
      </c>
      <c r="E207">
        <v>7</v>
      </c>
      <c r="F207">
        <v>15</v>
      </c>
      <c r="G207">
        <v>16</v>
      </c>
      <c r="H207">
        <v>1</v>
      </c>
      <c r="I207">
        <v>5.2</v>
      </c>
    </row>
    <row r="208" spans="1:9" x14ac:dyDescent="0.3">
      <c r="A208">
        <v>663</v>
      </c>
      <c r="B208">
        <v>1287</v>
      </c>
      <c r="C208">
        <v>2023</v>
      </c>
      <c r="D208">
        <v>3</v>
      </c>
      <c r="E208">
        <v>4</v>
      </c>
      <c r="F208">
        <v>8</v>
      </c>
      <c r="G208">
        <v>14</v>
      </c>
      <c r="H208">
        <v>7</v>
      </c>
      <c r="I208">
        <v>5.3</v>
      </c>
    </row>
    <row r="209" spans="1:9" x14ac:dyDescent="0.3">
      <c r="A209">
        <v>666</v>
      </c>
      <c r="B209">
        <v>1289</v>
      </c>
      <c r="C209">
        <v>2023</v>
      </c>
      <c r="D209">
        <v>4</v>
      </c>
      <c r="E209">
        <v>6</v>
      </c>
      <c r="F209">
        <v>17</v>
      </c>
      <c r="G209">
        <v>30</v>
      </c>
      <c r="H209">
        <v>6</v>
      </c>
      <c r="I209">
        <v>9</v>
      </c>
    </row>
    <row r="210" spans="1:9" x14ac:dyDescent="0.3">
      <c r="A210">
        <v>669</v>
      </c>
      <c r="B210">
        <v>1290</v>
      </c>
      <c r="C210">
        <v>2023</v>
      </c>
      <c r="D210">
        <v>5</v>
      </c>
      <c r="E210">
        <v>4</v>
      </c>
      <c r="F210">
        <v>4</v>
      </c>
      <c r="G210">
        <v>31</v>
      </c>
      <c r="H210">
        <v>4</v>
      </c>
      <c r="I210">
        <v>11.2</v>
      </c>
    </row>
    <row r="211" spans="1:9" x14ac:dyDescent="0.3">
      <c r="A211">
        <v>672</v>
      </c>
      <c r="B211">
        <v>1292</v>
      </c>
      <c r="C211">
        <v>2023</v>
      </c>
      <c r="D211">
        <v>3</v>
      </c>
      <c r="E211">
        <v>7</v>
      </c>
      <c r="F211">
        <v>2</v>
      </c>
      <c r="G211">
        <v>29</v>
      </c>
      <c r="H211">
        <v>2</v>
      </c>
      <c r="I211">
        <v>4</v>
      </c>
    </row>
    <row r="212" spans="1:9" x14ac:dyDescent="0.3">
      <c r="A212">
        <v>674</v>
      </c>
      <c r="B212">
        <v>1293</v>
      </c>
      <c r="C212">
        <v>2023</v>
      </c>
      <c r="D212">
        <v>5</v>
      </c>
      <c r="E212">
        <v>9</v>
      </c>
      <c r="F212">
        <v>1</v>
      </c>
      <c r="G212">
        <v>35</v>
      </c>
      <c r="H212">
        <v>4</v>
      </c>
      <c r="I212">
        <v>12.1</v>
      </c>
    </row>
    <row r="213" spans="1:9" x14ac:dyDescent="0.3">
      <c r="A213">
        <v>677</v>
      </c>
      <c r="B213">
        <v>1294</v>
      </c>
      <c r="C213">
        <v>2023</v>
      </c>
      <c r="D213">
        <v>3</v>
      </c>
      <c r="E213">
        <v>7</v>
      </c>
      <c r="F213">
        <v>10</v>
      </c>
      <c r="G213">
        <v>16</v>
      </c>
      <c r="H213">
        <v>3</v>
      </c>
      <c r="I213">
        <v>5.2</v>
      </c>
    </row>
    <row r="214" spans="1:9" x14ac:dyDescent="0.3">
      <c r="A214">
        <v>680</v>
      </c>
      <c r="B214">
        <v>1296</v>
      </c>
      <c r="C214">
        <v>2023</v>
      </c>
      <c r="D214">
        <v>3</v>
      </c>
      <c r="E214">
        <v>5</v>
      </c>
      <c r="F214">
        <v>10</v>
      </c>
      <c r="G214">
        <v>30</v>
      </c>
      <c r="H214">
        <v>8</v>
      </c>
      <c r="I214">
        <v>5.8</v>
      </c>
    </row>
    <row r="215" spans="1:9" x14ac:dyDescent="0.3">
      <c r="A215">
        <v>683</v>
      </c>
      <c r="B215">
        <v>1297</v>
      </c>
      <c r="C215">
        <v>2023</v>
      </c>
      <c r="D215">
        <v>3</v>
      </c>
      <c r="E215">
        <v>8</v>
      </c>
      <c r="F215">
        <v>2</v>
      </c>
      <c r="G215">
        <v>29</v>
      </c>
      <c r="H215">
        <v>6</v>
      </c>
      <c r="I215">
        <v>4.5</v>
      </c>
    </row>
    <row r="216" spans="1:9" x14ac:dyDescent="0.3">
      <c r="A216">
        <v>686</v>
      </c>
      <c r="B216">
        <v>1298</v>
      </c>
      <c r="C216">
        <v>2023</v>
      </c>
      <c r="D216">
        <v>2</v>
      </c>
      <c r="E216">
        <v>10</v>
      </c>
      <c r="F216">
        <v>21</v>
      </c>
      <c r="G216">
        <v>24</v>
      </c>
      <c r="H216">
        <v>5</v>
      </c>
      <c r="I216">
        <v>4.5999999999999996</v>
      </c>
    </row>
    <row r="217" spans="1:9" x14ac:dyDescent="0.3">
      <c r="A217">
        <v>687</v>
      </c>
      <c r="B217">
        <v>1299</v>
      </c>
      <c r="C217">
        <v>2023</v>
      </c>
      <c r="D217">
        <v>3</v>
      </c>
      <c r="E217">
        <v>8</v>
      </c>
      <c r="F217">
        <v>1</v>
      </c>
      <c r="G217">
        <v>43</v>
      </c>
      <c r="H217">
        <v>5</v>
      </c>
      <c r="I217">
        <v>4.7</v>
      </c>
    </row>
    <row r="218" spans="1:9" x14ac:dyDescent="0.3">
      <c r="A218">
        <v>690</v>
      </c>
      <c r="B218">
        <v>1300</v>
      </c>
      <c r="C218">
        <v>2023</v>
      </c>
      <c r="D218">
        <v>3</v>
      </c>
      <c r="E218">
        <v>8</v>
      </c>
      <c r="F218">
        <v>0</v>
      </c>
      <c r="G218">
        <v>24</v>
      </c>
      <c r="H218">
        <v>3</v>
      </c>
      <c r="I218">
        <v>5.7</v>
      </c>
    </row>
    <row r="219" spans="1:9" x14ac:dyDescent="0.3">
      <c r="A219">
        <v>693</v>
      </c>
      <c r="B219">
        <v>1301</v>
      </c>
      <c r="C219">
        <v>2023</v>
      </c>
      <c r="D219">
        <v>4</v>
      </c>
      <c r="E219">
        <v>8</v>
      </c>
      <c r="F219">
        <v>9</v>
      </c>
      <c r="G219">
        <v>34</v>
      </c>
      <c r="H219">
        <v>5</v>
      </c>
      <c r="I219">
        <v>9.4</v>
      </c>
    </row>
    <row r="220" spans="1:9" x14ac:dyDescent="0.3">
      <c r="A220">
        <v>696</v>
      </c>
      <c r="B220">
        <v>1302</v>
      </c>
      <c r="C220">
        <v>2023</v>
      </c>
      <c r="D220">
        <v>3</v>
      </c>
      <c r="E220">
        <v>10</v>
      </c>
      <c r="F220">
        <v>1</v>
      </c>
      <c r="G220">
        <v>14</v>
      </c>
      <c r="H220">
        <v>4</v>
      </c>
      <c r="I220">
        <v>5.6</v>
      </c>
    </row>
    <row r="221" spans="1:9" x14ac:dyDescent="0.3">
      <c r="A221">
        <v>699</v>
      </c>
      <c r="B221">
        <v>1303</v>
      </c>
      <c r="C221">
        <v>2023</v>
      </c>
      <c r="D221">
        <v>3</v>
      </c>
      <c r="E221">
        <v>8</v>
      </c>
      <c r="F221">
        <v>9</v>
      </c>
      <c r="G221">
        <v>30</v>
      </c>
      <c r="H221">
        <v>7</v>
      </c>
      <c r="I221">
        <v>3.9</v>
      </c>
    </row>
    <row r="222" spans="1:9" x14ac:dyDescent="0.3">
      <c r="A222">
        <v>704</v>
      </c>
      <c r="B222">
        <v>1305</v>
      </c>
      <c r="C222">
        <v>2023</v>
      </c>
      <c r="E222">
        <v>5</v>
      </c>
      <c r="F222">
        <v>14</v>
      </c>
      <c r="G222">
        <v>20</v>
      </c>
      <c r="H222">
        <v>6</v>
      </c>
      <c r="I222">
        <v>6.2</v>
      </c>
    </row>
    <row r="223" spans="1:9" x14ac:dyDescent="0.3">
      <c r="A223">
        <v>707</v>
      </c>
      <c r="B223">
        <v>1306</v>
      </c>
      <c r="C223">
        <v>2023</v>
      </c>
      <c r="D223">
        <v>4</v>
      </c>
      <c r="E223">
        <v>10</v>
      </c>
      <c r="F223">
        <v>16</v>
      </c>
      <c r="G223">
        <v>33</v>
      </c>
      <c r="H223">
        <v>2</v>
      </c>
      <c r="I223">
        <v>7.1</v>
      </c>
    </row>
    <row r="224" spans="1:9" x14ac:dyDescent="0.3">
      <c r="A224">
        <v>712</v>
      </c>
      <c r="B224">
        <v>1308</v>
      </c>
      <c r="C224">
        <v>2023</v>
      </c>
      <c r="D224">
        <v>2</v>
      </c>
      <c r="E224">
        <v>6</v>
      </c>
      <c r="F224">
        <v>8</v>
      </c>
      <c r="G224">
        <v>16</v>
      </c>
      <c r="H224">
        <v>7</v>
      </c>
      <c r="I224">
        <v>1.1000000000000001</v>
      </c>
    </row>
    <row r="225" spans="1:9" x14ac:dyDescent="0.3">
      <c r="A225">
        <v>715</v>
      </c>
      <c r="B225">
        <v>1309</v>
      </c>
      <c r="C225">
        <v>2023</v>
      </c>
      <c r="D225">
        <v>4</v>
      </c>
      <c r="F225">
        <v>16</v>
      </c>
      <c r="G225">
        <v>30</v>
      </c>
      <c r="H225">
        <v>7</v>
      </c>
      <c r="I225">
        <v>8.1</v>
      </c>
    </row>
    <row r="226" spans="1:9" x14ac:dyDescent="0.3">
      <c r="A226">
        <v>718</v>
      </c>
      <c r="B226">
        <v>1311</v>
      </c>
      <c r="C226">
        <v>2023</v>
      </c>
      <c r="D226">
        <v>4</v>
      </c>
      <c r="E226">
        <v>9</v>
      </c>
      <c r="F226">
        <v>5</v>
      </c>
      <c r="G226">
        <v>16</v>
      </c>
      <c r="H226">
        <v>5</v>
      </c>
      <c r="I226">
        <v>8.3000000000000007</v>
      </c>
    </row>
    <row r="227" spans="1:9" x14ac:dyDescent="0.3">
      <c r="A227">
        <v>721</v>
      </c>
      <c r="B227">
        <v>1312</v>
      </c>
      <c r="C227">
        <v>2023</v>
      </c>
      <c r="D227">
        <v>4</v>
      </c>
      <c r="E227">
        <v>5</v>
      </c>
      <c r="F227">
        <v>12</v>
      </c>
      <c r="G227">
        <v>24</v>
      </c>
      <c r="H227">
        <v>5</v>
      </c>
      <c r="I227">
        <v>8.4</v>
      </c>
    </row>
    <row r="228" spans="1:9" x14ac:dyDescent="0.3">
      <c r="A228">
        <v>723</v>
      </c>
      <c r="B228">
        <v>1313</v>
      </c>
      <c r="C228">
        <v>2023</v>
      </c>
      <c r="D228">
        <v>4</v>
      </c>
      <c r="E228">
        <v>9</v>
      </c>
      <c r="F228">
        <v>11</v>
      </c>
      <c r="G228">
        <v>18</v>
      </c>
      <c r="H228">
        <v>4</v>
      </c>
      <c r="I228">
        <v>8.8000000000000007</v>
      </c>
    </row>
    <row r="229" spans="1:9" x14ac:dyDescent="0.3">
      <c r="A229">
        <v>726</v>
      </c>
      <c r="B229">
        <v>1314</v>
      </c>
      <c r="C229">
        <v>2023</v>
      </c>
      <c r="D229">
        <v>4</v>
      </c>
      <c r="E229">
        <v>9</v>
      </c>
      <c r="F229">
        <v>6</v>
      </c>
      <c r="G229">
        <v>22</v>
      </c>
      <c r="H229">
        <v>9</v>
      </c>
      <c r="I229">
        <v>8.6</v>
      </c>
    </row>
    <row r="230" spans="1:9" x14ac:dyDescent="0.3">
      <c r="A230">
        <v>727</v>
      </c>
      <c r="B230">
        <v>1315</v>
      </c>
      <c r="C230">
        <v>2023</v>
      </c>
      <c r="D230">
        <v>3</v>
      </c>
      <c r="E230">
        <v>7</v>
      </c>
      <c r="F230">
        <v>9</v>
      </c>
      <c r="G230">
        <v>16</v>
      </c>
      <c r="H230">
        <v>3</v>
      </c>
      <c r="I230">
        <v>3.3</v>
      </c>
    </row>
    <row r="231" spans="1:9" x14ac:dyDescent="0.3">
      <c r="A231">
        <v>732</v>
      </c>
      <c r="B231">
        <v>1317</v>
      </c>
      <c r="C231">
        <v>2023</v>
      </c>
      <c r="D231">
        <v>3</v>
      </c>
      <c r="E231">
        <v>8</v>
      </c>
      <c r="F231">
        <v>19</v>
      </c>
      <c r="G231">
        <v>25</v>
      </c>
      <c r="H231">
        <v>4</v>
      </c>
      <c r="I231">
        <v>4.8</v>
      </c>
    </row>
    <row r="232" spans="1:9" x14ac:dyDescent="0.3">
      <c r="A232">
        <v>735</v>
      </c>
      <c r="B232">
        <v>1318</v>
      </c>
      <c r="C232">
        <v>2023</v>
      </c>
      <c r="D232">
        <v>4</v>
      </c>
      <c r="E232">
        <v>8</v>
      </c>
      <c r="F232">
        <v>0</v>
      </c>
      <c r="G232">
        <v>39</v>
      </c>
      <c r="H232">
        <v>2</v>
      </c>
      <c r="I232">
        <v>7.8</v>
      </c>
    </row>
    <row r="233" spans="1:9" x14ac:dyDescent="0.3">
      <c r="A233">
        <v>738</v>
      </c>
      <c r="B233">
        <v>1319</v>
      </c>
      <c r="C233">
        <v>2023</v>
      </c>
      <c r="D233">
        <v>2</v>
      </c>
      <c r="E233">
        <v>10</v>
      </c>
      <c r="F233">
        <v>3</v>
      </c>
      <c r="G233">
        <v>0</v>
      </c>
      <c r="H233">
        <v>3</v>
      </c>
      <c r="I233">
        <v>2.9</v>
      </c>
    </row>
    <row r="234" spans="1:9" x14ac:dyDescent="0.3">
      <c r="A234">
        <v>741</v>
      </c>
      <c r="B234">
        <v>1320</v>
      </c>
      <c r="C234">
        <v>2023</v>
      </c>
      <c r="D234">
        <v>4</v>
      </c>
      <c r="E234">
        <v>4</v>
      </c>
      <c r="F234">
        <v>8</v>
      </c>
      <c r="G234">
        <v>24</v>
      </c>
      <c r="H234">
        <v>5</v>
      </c>
      <c r="I234">
        <v>6.4</v>
      </c>
    </row>
    <row r="235" spans="1:9" x14ac:dyDescent="0.3">
      <c r="A235">
        <v>744</v>
      </c>
      <c r="B235">
        <v>1321</v>
      </c>
      <c r="C235">
        <v>2023</v>
      </c>
      <c r="D235">
        <v>3</v>
      </c>
      <c r="E235">
        <v>7</v>
      </c>
      <c r="F235">
        <v>10</v>
      </c>
      <c r="G235">
        <v>27</v>
      </c>
      <c r="H235">
        <v>5</v>
      </c>
      <c r="I235">
        <v>5.5</v>
      </c>
    </row>
    <row r="236" spans="1:9" x14ac:dyDescent="0.3">
      <c r="A236">
        <v>747</v>
      </c>
      <c r="B236">
        <v>1323</v>
      </c>
      <c r="C236">
        <v>2023</v>
      </c>
      <c r="D236">
        <v>3</v>
      </c>
      <c r="E236">
        <v>6</v>
      </c>
      <c r="F236">
        <v>8</v>
      </c>
      <c r="G236">
        <v>6</v>
      </c>
      <c r="H236">
        <v>6</v>
      </c>
      <c r="I236">
        <v>5.4</v>
      </c>
    </row>
    <row r="237" spans="1:9" x14ac:dyDescent="0.3">
      <c r="A237">
        <v>750</v>
      </c>
      <c r="B237">
        <v>1324</v>
      </c>
      <c r="C237">
        <v>2023</v>
      </c>
      <c r="D237">
        <v>3</v>
      </c>
      <c r="E237">
        <v>3</v>
      </c>
      <c r="F237">
        <v>19</v>
      </c>
      <c r="G237">
        <v>12</v>
      </c>
      <c r="H237">
        <v>9</v>
      </c>
      <c r="I237">
        <v>4.2</v>
      </c>
    </row>
    <row r="238" spans="1:9" x14ac:dyDescent="0.3">
      <c r="A238">
        <v>753</v>
      </c>
      <c r="B238">
        <v>1325</v>
      </c>
      <c r="C238">
        <v>2023</v>
      </c>
      <c r="D238">
        <v>4</v>
      </c>
      <c r="E238">
        <v>5</v>
      </c>
      <c r="F238">
        <v>11</v>
      </c>
      <c r="G238">
        <v>31</v>
      </c>
      <c r="H238">
        <v>2</v>
      </c>
      <c r="I238">
        <v>8.1</v>
      </c>
    </row>
    <row r="239" spans="1:9" x14ac:dyDescent="0.3">
      <c r="A239">
        <v>756</v>
      </c>
      <c r="B239">
        <v>1326</v>
      </c>
      <c r="C239">
        <v>2023</v>
      </c>
      <c r="D239">
        <v>3</v>
      </c>
      <c r="E239">
        <v>5</v>
      </c>
      <c r="F239">
        <v>2</v>
      </c>
      <c r="G239">
        <v>35</v>
      </c>
      <c r="H239">
        <v>5</v>
      </c>
      <c r="I239">
        <v>5.3</v>
      </c>
    </row>
    <row r="240" spans="1:9" x14ac:dyDescent="0.3">
      <c r="A240">
        <v>759</v>
      </c>
      <c r="B240">
        <v>1327</v>
      </c>
      <c r="C240">
        <v>2023</v>
      </c>
      <c r="D240">
        <v>3</v>
      </c>
      <c r="E240">
        <v>6</v>
      </c>
      <c r="F240">
        <v>10</v>
      </c>
      <c r="G240">
        <v>14</v>
      </c>
      <c r="H240">
        <v>4</v>
      </c>
      <c r="I240">
        <v>5.2</v>
      </c>
    </row>
    <row r="241" spans="1:9" x14ac:dyDescent="0.3">
      <c r="A241">
        <v>762</v>
      </c>
      <c r="B241">
        <v>1328</v>
      </c>
      <c r="C241">
        <v>2023</v>
      </c>
      <c r="D241">
        <v>5</v>
      </c>
      <c r="E241">
        <v>7</v>
      </c>
      <c r="F241">
        <v>2</v>
      </c>
      <c r="G241">
        <v>5</v>
      </c>
      <c r="H241">
        <v>6</v>
      </c>
      <c r="I241">
        <v>12</v>
      </c>
    </row>
    <row r="242" spans="1:9" x14ac:dyDescent="0.3">
      <c r="A242">
        <v>765</v>
      </c>
      <c r="B242">
        <v>1330</v>
      </c>
      <c r="C242">
        <v>2023</v>
      </c>
      <c r="E242">
        <v>6</v>
      </c>
      <c r="F242">
        <v>9</v>
      </c>
      <c r="G242">
        <v>22</v>
      </c>
      <c r="H242">
        <v>5</v>
      </c>
      <c r="I242">
        <v>7.8</v>
      </c>
    </row>
    <row r="243" spans="1:9" x14ac:dyDescent="0.3">
      <c r="A243">
        <v>768</v>
      </c>
      <c r="B243">
        <v>1331</v>
      </c>
      <c r="C243">
        <v>2023</v>
      </c>
      <c r="D243">
        <v>4</v>
      </c>
      <c r="E243">
        <v>7</v>
      </c>
      <c r="F243">
        <v>0</v>
      </c>
      <c r="G243">
        <v>23</v>
      </c>
      <c r="H243">
        <v>6</v>
      </c>
      <c r="I243">
        <v>8.1</v>
      </c>
    </row>
    <row r="244" spans="1:9" x14ac:dyDescent="0.3">
      <c r="A244">
        <v>771</v>
      </c>
      <c r="B244">
        <v>1332</v>
      </c>
      <c r="C244">
        <v>2023</v>
      </c>
      <c r="D244">
        <v>3</v>
      </c>
      <c r="E244">
        <v>7</v>
      </c>
      <c r="F244">
        <v>21</v>
      </c>
      <c r="G244">
        <v>33</v>
      </c>
      <c r="H244">
        <v>5</v>
      </c>
      <c r="I244">
        <v>4.4000000000000004</v>
      </c>
    </row>
    <row r="245" spans="1:9" x14ac:dyDescent="0.3">
      <c r="A245">
        <v>774</v>
      </c>
      <c r="B245">
        <v>1333</v>
      </c>
      <c r="C245">
        <v>2023</v>
      </c>
      <c r="D245">
        <v>4</v>
      </c>
      <c r="E245">
        <v>5</v>
      </c>
      <c r="F245">
        <v>8</v>
      </c>
      <c r="G245">
        <v>37</v>
      </c>
      <c r="H245">
        <v>0</v>
      </c>
      <c r="I245">
        <v>8.6999999999999993</v>
      </c>
    </row>
    <row r="246" spans="1:9" x14ac:dyDescent="0.3">
      <c r="A246">
        <v>777</v>
      </c>
      <c r="B246">
        <v>1334</v>
      </c>
      <c r="C246">
        <v>2023</v>
      </c>
      <c r="D246">
        <v>4</v>
      </c>
      <c r="E246">
        <v>6</v>
      </c>
      <c r="F246">
        <v>8</v>
      </c>
      <c r="G246">
        <v>26</v>
      </c>
      <c r="H246">
        <v>5</v>
      </c>
      <c r="I246">
        <v>9.1999999999999993</v>
      </c>
    </row>
    <row r="247" spans="1:9" x14ac:dyDescent="0.3">
      <c r="A247">
        <v>780</v>
      </c>
      <c r="B247">
        <v>1335</v>
      </c>
      <c r="C247">
        <v>2023</v>
      </c>
      <c r="D247">
        <v>5</v>
      </c>
      <c r="E247">
        <v>7</v>
      </c>
      <c r="F247">
        <v>3</v>
      </c>
      <c r="G247">
        <v>25</v>
      </c>
      <c r="H247">
        <v>4</v>
      </c>
      <c r="I247">
        <v>12.1</v>
      </c>
    </row>
    <row r="248" spans="1:9" x14ac:dyDescent="0.3">
      <c r="A248">
        <v>783</v>
      </c>
      <c r="B248">
        <v>1336</v>
      </c>
      <c r="C248">
        <v>2023</v>
      </c>
      <c r="D248">
        <v>4</v>
      </c>
      <c r="E248">
        <v>7</v>
      </c>
      <c r="F248">
        <v>12</v>
      </c>
      <c r="G248">
        <v>32</v>
      </c>
      <c r="H248">
        <v>6</v>
      </c>
      <c r="I248">
        <v>8.6999999999999993</v>
      </c>
    </row>
    <row r="249" spans="1:9" x14ac:dyDescent="0.3">
      <c r="A249">
        <v>786</v>
      </c>
      <c r="B249">
        <v>1338</v>
      </c>
      <c r="C249">
        <v>2023</v>
      </c>
      <c r="D249">
        <v>3</v>
      </c>
      <c r="E249">
        <v>8</v>
      </c>
      <c r="F249">
        <v>0</v>
      </c>
      <c r="G249">
        <v>10</v>
      </c>
      <c r="H249">
        <v>5</v>
      </c>
      <c r="I249">
        <v>3</v>
      </c>
    </row>
    <row r="250" spans="1:9" x14ac:dyDescent="0.3">
      <c r="A250">
        <v>789</v>
      </c>
      <c r="B250">
        <v>1339</v>
      </c>
      <c r="C250">
        <v>2023</v>
      </c>
      <c r="D250">
        <v>2</v>
      </c>
      <c r="E250">
        <v>7</v>
      </c>
      <c r="F250">
        <v>2</v>
      </c>
      <c r="G250">
        <v>6</v>
      </c>
      <c r="H250">
        <v>5</v>
      </c>
      <c r="I250">
        <v>3.1</v>
      </c>
    </row>
    <row r="251" spans="1:9" x14ac:dyDescent="0.3">
      <c r="A251">
        <v>792</v>
      </c>
      <c r="B251">
        <v>1341</v>
      </c>
      <c r="C251">
        <v>2023</v>
      </c>
      <c r="D251">
        <v>4</v>
      </c>
      <c r="E251">
        <v>9</v>
      </c>
      <c r="F251">
        <v>0</v>
      </c>
      <c r="G251">
        <v>27</v>
      </c>
      <c r="H251">
        <v>9</v>
      </c>
      <c r="I251">
        <v>6.6</v>
      </c>
    </row>
    <row r="252" spans="1:9" x14ac:dyDescent="0.3">
      <c r="A252">
        <v>795</v>
      </c>
      <c r="B252">
        <v>1342</v>
      </c>
      <c r="C252">
        <v>2023</v>
      </c>
      <c r="D252">
        <v>3</v>
      </c>
      <c r="E252">
        <v>4</v>
      </c>
      <c r="F252">
        <v>4</v>
      </c>
      <c r="G252">
        <v>34</v>
      </c>
      <c r="H252">
        <v>7</v>
      </c>
      <c r="I252">
        <v>5.2</v>
      </c>
    </row>
    <row r="253" spans="1:9" x14ac:dyDescent="0.3">
      <c r="A253">
        <v>799</v>
      </c>
      <c r="B253">
        <v>1344</v>
      </c>
      <c r="C253">
        <v>2023</v>
      </c>
      <c r="D253">
        <v>3</v>
      </c>
      <c r="E253">
        <v>9</v>
      </c>
      <c r="F253">
        <v>3</v>
      </c>
      <c r="G253">
        <v>11</v>
      </c>
      <c r="H253">
        <v>3</v>
      </c>
      <c r="I253">
        <v>5.8</v>
      </c>
    </row>
    <row r="254" spans="1:9" x14ac:dyDescent="0.3">
      <c r="A254">
        <v>802</v>
      </c>
      <c r="B254">
        <v>1345</v>
      </c>
      <c r="C254">
        <v>2023</v>
      </c>
      <c r="D254">
        <v>4</v>
      </c>
      <c r="E254">
        <v>3</v>
      </c>
      <c r="F254">
        <v>2</v>
      </c>
      <c r="G254">
        <v>34</v>
      </c>
      <c r="H254">
        <v>8</v>
      </c>
      <c r="I254">
        <v>9.3000000000000007</v>
      </c>
    </row>
    <row r="255" spans="1:9" x14ac:dyDescent="0.3">
      <c r="A255">
        <v>807</v>
      </c>
      <c r="B255">
        <v>1348</v>
      </c>
      <c r="C255">
        <v>2023</v>
      </c>
      <c r="D255">
        <v>1</v>
      </c>
      <c r="E255">
        <v>3</v>
      </c>
      <c r="F255">
        <v>5</v>
      </c>
      <c r="G255">
        <v>11</v>
      </c>
      <c r="H255">
        <v>7</v>
      </c>
      <c r="I255">
        <v>0</v>
      </c>
    </row>
    <row r="256" spans="1:9" x14ac:dyDescent="0.3">
      <c r="A256">
        <v>809</v>
      </c>
      <c r="B256">
        <v>1349</v>
      </c>
      <c r="C256">
        <v>2023</v>
      </c>
      <c r="D256">
        <v>3</v>
      </c>
      <c r="E256">
        <v>7</v>
      </c>
      <c r="F256">
        <v>2</v>
      </c>
      <c r="G256">
        <v>17</v>
      </c>
      <c r="H256">
        <v>3</v>
      </c>
      <c r="I256">
        <v>4.0999999999999996</v>
      </c>
    </row>
    <row r="257" spans="1:9" x14ac:dyDescent="0.3">
      <c r="A257">
        <v>814</v>
      </c>
      <c r="B257">
        <v>1351</v>
      </c>
      <c r="C257">
        <v>2023</v>
      </c>
      <c r="D257">
        <v>3</v>
      </c>
      <c r="E257">
        <v>6</v>
      </c>
      <c r="F257">
        <v>8</v>
      </c>
      <c r="G257">
        <v>24</v>
      </c>
      <c r="H257">
        <v>5</v>
      </c>
      <c r="I257">
        <v>3.3</v>
      </c>
    </row>
    <row r="258" spans="1:9" x14ac:dyDescent="0.3">
      <c r="A258">
        <v>817</v>
      </c>
      <c r="B258">
        <v>1352</v>
      </c>
      <c r="C258">
        <v>2023</v>
      </c>
      <c r="D258">
        <v>5</v>
      </c>
      <c r="E258">
        <v>7</v>
      </c>
      <c r="F258">
        <v>0</v>
      </c>
      <c r="G258">
        <v>35</v>
      </c>
      <c r="H258">
        <v>4</v>
      </c>
      <c r="I258">
        <v>12.7</v>
      </c>
    </row>
    <row r="259" spans="1:9" x14ac:dyDescent="0.3">
      <c r="A259">
        <v>822</v>
      </c>
      <c r="B259">
        <v>1354</v>
      </c>
      <c r="C259">
        <v>2023</v>
      </c>
      <c r="D259">
        <v>3</v>
      </c>
      <c r="E259">
        <v>4</v>
      </c>
      <c r="F259">
        <v>1</v>
      </c>
      <c r="G259">
        <v>32</v>
      </c>
      <c r="H259">
        <v>6</v>
      </c>
      <c r="I259">
        <v>7.5</v>
      </c>
    </row>
    <row r="260" spans="1:9" x14ac:dyDescent="0.3">
      <c r="A260">
        <v>826</v>
      </c>
      <c r="B260">
        <v>1356</v>
      </c>
      <c r="C260">
        <v>2023</v>
      </c>
      <c r="D260">
        <v>2</v>
      </c>
      <c r="E260">
        <v>6</v>
      </c>
      <c r="F260">
        <v>10</v>
      </c>
      <c r="G260">
        <v>19</v>
      </c>
      <c r="H260">
        <v>2</v>
      </c>
      <c r="I260">
        <v>1.9</v>
      </c>
    </row>
    <row r="261" spans="1:9" x14ac:dyDescent="0.3">
      <c r="A261">
        <v>829</v>
      </c>
      <c r="B261">
        <v>1357</v>
      </c>
      <c r="C261">
        <v>2023</v>
      </c>
      <c r="D261">
        <v>3</v>
      </c>
      <c r="E261">
        <v>9</v>
      </c>
      <c r="F261">
        <v>10</v>
      </c>
      <c r="G261">
        <v>3</v>
      </c>
      <c r="H261">
        <v>7</v>
      </c>
      <c r="I261">
        <v>4.5</v>
      </c>
    </row>
    <row r="262" spans="1:9" x14ac:dyDescent="0.3">
      <c r="A262">
        <v>833</v>
      </c>
      <c r="B262">
        <v>1359</v>
      </c>
      <c r="C262">
        <v>2023</v>
      </c>
      <c r="D262">
        <v>5</v>
      </c>
      <c r="E262">
        <v>10</v>
      </c>
      <c r="F262">
        <v>0</v>
      </c>
      <c r="G262">
        <v>34</v>
      </c>
      <c r="H262">
        <v>3</v>
      </c>
      <c r="I262">
        <v>10.1</v>
      </c>
    </row>
    <row r="263" spans="1:9" x14ac:dyDescent="0.3">
      <c r="A263">
        <v>836</v>
      </c>
      <c r="B263">
        <v>1360</v>
      </c>
      <c r="C263">
        <v>2023</v>
      </c>
      <c r="D263">
        <v>2</v>
      </c>
      <c r="E263">
        <v>8</v>
      </c>
      <c r="F263">
        <v>10</v>
      </c>
      <c r="G263">
        <v>16</v>
      </c>
      <c r="H263">
        <v>5</v>
      </c>
      <c r="I263">
        <v>0</v>
      </c>
    </row>
    <row r="264" spans="1:9" x14ac:dyDescent="0.3">
      <c r="A264">
        <v>840</v>
      </c>
      <c r="B264">
        <v>1362</v>
      </c>
      <c r="C264">
        <v>2023</v>
      </c>
      <c r="D264">
        <v>4</v>
      </c>
      <c r="E264">
        <v>8</v>
      </c>
      <c r="F264">
        <v>14</v>
      </c>
      <c r="G264">
        <v>18</v>
      </c>
      <c r="H264">
        <v>5</v>
      </c>
      <c r="I264">
        <v>8.4</v>
      </c>
    </row>
    <row r="265" spans="1:9" x14ac:dyDescent="0.3">
      <c r="A265">
        <v>843</v>
      </c>
      <c r="B265">
        <v>1363</v>
      </c>
      <c r="C265">
        <v>2023</v>
      </c>
      <c r="D265">
        <v>3</v>
      </c>
      <c r="E265">
        <v>6</v>
      </c>
      <c r="F265">
        <v>3</v>
      </c>
      <c r="G265">
        <v>11</v>
      </c>
      <c r="H265">
        <v>2</v>
      </c>
      <c r="I265">
        <v>3.5</v>
      </c>
    </row>
    <row r="266" spans="1:9" x14ac:dyDescent="0.3">
      <c r="A266">
        <v>846</v>
      </c>
      <c r="B266">
        <v>1364</v>
      </c>
      <c r="C266">
        <v>2023</v>
      </c>
      <c r="D266">
        <v>4</v>
      </c>
      <c r="E266">
        <v>9</v>
      </c>
      <c r="F266">
        <v>11</v>
      </c>
      <c r="G266">
        <v>40</v>
      </c>
      <c r="H266">
        <v>5</v>
      </c>
      <c r="I266">
        <v>8.5</v>
      </c>
    </row>
    <row r="267" spans="1:9" x14ac:dyDescent="0.3">
      <c r="A267">
        <v>849</v>
      </c>
      <c r="B267">
        <v>1365</v>
      </c>
      <c r="C267">
        <v>2023</v>
      </c>
      <c r="D267">
        <v>2</v>
      </c>
      <c r="E267">
        <v>7</v>
      </c>
      <c r="F267">
        <v>0</v>
      </c>
      <c r="G267">
        <v>40</v>
      </c>
      <c r="H267">
        <v>3</v>
      </c>
      <c r="I267">
        <v>2.5</v>
      </c>
    </row>
    <row r="268" spans="1:9" x14ac:dyDescent="0.3">
      <c r="A268">
        <v>854</v>
      </c>
      <c r="B268">
        <v>1367</v>
      </c>
      <c r="C268">
        <v>2023</v>
      </c>
      <c r="D268">
        <v>4</v>
      </c>
      <c r="E268">
        <v>8</v>
      </c>
      <c r="F268">
        <v>9</v>
      </c>
      <c r="G268">
        <v>8</v>
      </c>
      <c r="H268">
        <v>5</v>
      </c>
      <c r="I268">
        <v>7.8</v>
      </c>
    </row>
    <row r="269" spans="1:9" x14ac:dyDescent="0.3">
      <c r="A269">
        <v>857</v>
      </c>
      <c r="B269">
        <v>1368</v>
      </c>
      <c r="C269">
        <v>2023</v>
      </c>
      <c r="D269">
        <v>2</v>
      </c>
      <c r="E269">
        <v>8</v>
      </c>
      <c r="F269">
        <v>5</v>
      </c>
      <c r="G269">
        <v>37</v>
      </c>
      <c r="H269">
        <v>3</v>
      </c>
      <c r="I269">
        <v>0.5</v>
      </c>
    </row>
    <row r="270" spans="1:9" x14ac:dyDescent="0.3">
      <c r="A270">
        <v>861</v>
      </c>
      <c r="B270">
        <v>1370</v>
      </c>
      <c r="C270">
        <v>2023</v>
      </c>
      <c r="D270">
        <v>5</v>
      </c>
      <c r="E270">
        <v>8</v>
      </c>
      <c r="F270">
        <v>3</v>
      </c>
      <c r="G270">
        <v>37</v>
      </c>
      <c r="H270">
        <v>7</v>
      </c>
      <c r="I270">
        <v>11.4</v>
      </c>
    </row>
    <row r="271" spans="1:9" x14ac:dyDescent="0.3">
      <c r="A271">
        <v>866</v>
      </c>
      <c r="B271">
        <v>1372</v>
      </c>
      <c r="C271">
        <v>2023</v>
      </c>
      <c r="D271">
        <v>5</v>
      </c>
      <c r="E271">
        <v>5</v>
      </c>
      <c r="F271">
        <v>16</v>
      </c>
      <c r="G271">
        <v>11</v>
      </c>
      <c r="H271">
        <v>1</v>
      </c>
      <c r="I271">
        <v>13.4</v>
      </c>
    </row>
    <row r="272" spans="1:9" x14ac:dyDescent="0.3">
      <c r="A272">
        <v>867</v>
      </c>
      <c r="B272">
        <v>1373</v>
      </c>
      <c r="C272">
        <v>2023</v>
      </c>
      <c r="D272">
        <v>5</v>
      </c>
      <c r="E272">
        <v>6</v>
      </c>
      <c r="F272">
        <v>1</v>
      </c>
      <c r="G272">
        <v>39</v>
      </c>
      <c r="H272">
        <v>13</v>
      </c>
      <c r="I272">
        <v>13.5</v>
      </c>
    </row>
    <row r="273" spans="1:9" x14ac:dyDescent="0.3">
      <c r="A273">
        <v>868</v>
      </c>
      <c r="B273">
        <v>1374</v>
      </c>
      <c r="C273">
        <v>2023</v>
      </c>
      <c r="D273">
        <v>4</v>
      </c>
      <c r="E273">
        <v>10</v>
      </c>
      <c r="F273">
        <v>5</v>
      </c>
      <c r="G273">
        <v>29</v>
      </c>
      <c r="H273">
        <v>6</v>
      </c>
      <c r="I273">
        <v>7.6</v>
      </c>
    </row>
    <row r="274" spans="1:9" x14ac:dyDescent="0.3">
      <c r="A274">
        <v>873</v>
      </c>
      <c r="B274">
        <v>1376</v>
      </c>
      <c r="C274">
        <v>2023</v>
      </c>
      <c r="D274">
        <v>3</v>
      </c>
      <c r="E274">
        <v>8</v>
      </c>
      <c r="F274">
        <v>1</v>
      </c>
      <c r="G274">
        <v>26</v>
      </c>
      <c r="H274">
        <v>3</v>
      </c>
      <c r="I274">
        <v>6.9</v>
      </c>
    </row>
    <row r="275" spans="1:9" x14ac:dyDescent="0.3">
      <c r="A275">
        <v>878</v>
      </c>
      <c r="B275">
        <v>1378</v>
      </c>
      <c r="C275">
        <v>2023</v>
      </c>
      <c r="D275">
        <v>3</v>
      </c>
      <c r="E275">
        <v>8</v>
      </c>
      <c r="F275">
        <v>1</v>
      </c>
      <c r="G275">
        <v>27</v>
      </c>
      <c r="H275">
        <v>8</v>
      </c>
      <c r="I275">
        <v>5.3</v>
      </c>
    </row>
    <row r="276" spans="1:9" x14ac:dyDescent="0.3">
      <c r="A276">
        <v>881</v>
      </c>
      <c r="B276">
        <v>1379</v>
      </c>
      <c r="C276">
        <v>2023</v>
      </c>
      <c r="D276">
        <v>4</v>
      </c>
      <c r="E276">
        <v>7</v>
      </c>
      <c r="F276">
        <v>16</v>
      </c>
      <c r="G276">
        <v>30</v>
      </c>
      <c r="H276">
        <v>7</v>
      </c>
      <c r="I276">
        <v>8.4</v>
      </c>
    </row>
    <row r="277" spans="1:9" x14ac:dyDescent="0.3">
      <c r="A277">
        <v>884</v>
      </c>
      <c r="B277">
        <v>1380</v>
      </c>
      <c r="C277">
        <v>2023</v>
      </c>
      <c r="D277">
        <v>3</v>
      </c>
      <c r="E277">
        <v>7</v>
      </c>
      <c r="F277">
        <v>11</v>
      </c>
      <c r="G277">
        <v>32</v>
      </c>
      <c r="H277">
        <v>3</v>
      </c>
      <c r="I277">
        <v>5.9</v>
      </c>
    </row>
    <row r="278" spans="1:9" x14ac:dyDescent="0.3">
      <c r="A278">
        <v>887</v>
      </c>
      <c r="B278">
        <v>1381</v>
      </c>
      <c r="C278">
        <v>2023</v>
      </c>
      <c r="D278">
        <v>4</v>
      </c>
      <c r="E278">
        <v>6</v>
      </c>
      <c r="F278">
        <v>6</v>
      </c>
      <c r="G278">
        <v>26</v>
      </c>
      <c r="H278">
        <v>4</v>
      </c>
      <c r="I278">
        <v>7.6</v>
      </c>
    </row>
    <row r="279" spans="1:9" x14ac:dyDescent="0.3">
      <c r="A279">
        <v>892</v>
      </c>
      <c r="B279">
        <v>1383</v>
      </c>
      <c r="C279">
        <v>2023</v>
      </c>
      <c r="D279">
        <v>4</v>
      </c>
      <c r="E279">
        <v>1</v>
      </c>
      <c r="F279">
        <v>4</v>
      </c>
      <c r="G279">
        <v>52</v>
      </c>
      <c r="H279">
        <v>4</v>
      </c>
      <c r="I279">
        <v>9.9</v>
      </c>
    </row>
    <row r="280" spans="1:9" x14ac:dyDescent="0.3">
      <c r="A280">
        <v>895</v>
      </c>
      <c r="B280">
        <v>1384</v>
      </c>
      <c r="C280">
        <v>2023</v>
      </c>
      <c r="D280">
        <v>2</v>
      </c>
      <c r="E280">
        <v>8</v>
      </c>
      <c r="F280">
        <v>0</v>
      </c>
      <c r="G280">
        <v>12</v>
      </c>
      <c r="H280">
        <v>6</v>
      </c>
      <c r="I280">
        <v>0.9</v>
      </c>
    </row>
    <row r="281" spans="1:9" x14ac:dyDescent="0.3">
      <c r="A281">
        <v>898</v>
      </c>
      <c r="B281">
        <v>1385</v>
      </c>
      <c r="C281">
        <v>2023</v>
      </c>
      <c r="D281">
        <v>3</v>
      </c>
      <c r="E281">
        <v>5</v>
      </c>
      <c r="F281">
        <v>14</v>
      </c>
      <c r="G281">
        <v>16</v>
      </c>
      <c r="H281">
        <v>7</v>
      </c>
      <c r="I281">
        <v>4.4000000000000004</v>
      </c>
    </row>
    <row r="282" spans="1:9" x14ac:dyDescent="0.3">
      <c r="A282">
        <v>903</v>
      </c>
      <c r="B282">
        <v>1387</v>
      </c>
      <c r="C282">
        <v>2023</v>
      </c>
      <c r="D282">
        <v>4</v>
      </c>
      <c r="E282">
        <v>9</v>
      </c>
      <c r="F282">
        <v>9</v>
      </c>
      <c r="G282">
        <v>37</v>
      </c>
      <c r="H282">
        <v>3</v>
      </c>
      <c r="I282">
        <v>8</v>
      </c>
    </row>
    <row r="283" spans="1:9" x14ac:dyDescent="0.3">
      <c r="A283">
        <v>906</v>
      </c>
      <c r="B283">
        <v>1388</v>
      </c>
      <c r="C283">
        <v>2023</v>
      </c>
      <c r="D283">
        <v>4</v>
      </c>
      <c r="E283">
        <v>7</v>
      </c>
      <c r="F283">
        <v>19</v>
      </c>
      <c r="G283">
        <v>26</v>
      </c>
      <c r="H283">
        <v>1</v>
      </c>
      <c r="I283">
        <v>7.3</v>
      </c>
    </row>
    <row r="284" spans="1:9" x14ac:dyDescent="0.3">
      <c r="A284">
        <v>906</v>
      </c>
      <c r="B284">
        <v>1388</v>
      </c>
      <c r="C284">
        <v>2023</v>
      </c>
      <c r="D284">
        <v>4</v>
      </c>
      <c r="E284">
        <v>7</v>
      </c>
      <c r="F284">
        <v>19</v>
      </c>
      <c r="G284">
        <v>26</v>
      </c>
      <c r="H284">
        <v>1</v>
      </c>
      <c r="I284">
        <v>7.3</v>
      </c>
    </row>
    <row r="285" spans="1:9" x14ac:dyDescent="0.3">
      <c r="A285">
        <v>909</v>
      </c>
      <c r="B285">
        <v>1389</v>
      </c>
      <c r="C285">
        <v>2023</v>
      </c>
      <c r="D285">
        <v>4</v>
      </c>
      <c r="E285">
        <v>4</v>
      </c>
      <c r="F285">
        <v>9</v>
      </c>
      <c r="G285">
        <v>38</v>
      </c>
      <c r="H285">
        <v>8</v>
      </c>
      <c r="I285">
        <v>9.1999999999999993</v>
      </c>
    </row>
    <row r="286" spans="1:9" x14ac:dyDescent="0.3">
      <c r="A286">
        <v>912</v>
      </c>
      <c r="B286">
        <v>1390</v>
      </c>
      <c r="C286">
        <v>2023</v>
      </c>
      <c r="D286">
        <v>2</v>
      </c>
      <c r="E286">
        <v>8</v>
      </c>
      <c r="F286">
        <v>6</v>
      </c>
      <c r="G286">
        <v>6</v>
      </c>
      <c r="H286">
        <v>5</v>
      </c>
      <c r="I286">
        <v>3.3</v>
      </c>
    </row>
    <row r="287" spans="1:9" x14ac:dyDescent="0.3">
      <c r="A287">
        <v>915</v>
      </c>
      <c r="B287">
        <v>1391</v>
      </c>
      <c r="C287">
        <v>2023</v>
      </c>
      <c r="D287">
        <v>3</v>
      </c>
      <c r="E287">
        <v>7</v>
      </c>
      <c r="F287">
        <v>2</v>
      </c>
      <c r="G287">
        <v>17</v>
      </c>
      <c r="H287">
        <v>3</v>
      </c>
      <c r="I287">
        <v>5.4</v>
      </c>
    </row>
    <row r="288" spans="1:9" x14ac:dyDescent="0.3">
      <c r="A288">
        <v>918</v>
      </c>
      <c r="B288">
        <v>1392</v>
      </c>
      <c r="C288">
        <v>2023</v>
      </c>
      <c r="D288">
        <v>4</v>
      </c>
      <c r="E288">
        <v>6</v>
      </c>
      <c r="F288">
        <v>9</v>
      </c>
      <c r="G288">
        <v>15</v>
      </c>
      <c r="H288">
        <v>5</v>
      </c>
      <c r="I288">
        <v>7.2</v>
      </c>
    </row>
    <row r="289" spans="1:9" x14ac:dyDescent="0.3">
      <c r="A289">
        <v>921</v>
      </c>
      <c r="B289">
        <v>1393</v>
      </c>
      <c r="C289">
        <v>2023</v>
      </c>
      <c r="D289">
        <v>4</v>
      </c>
      <c r="E289">
        <v>3</v>
      </c>
      <c r="F289">
        <v>13</v>
      </c>
      <c r="G289">
        <v>28</v>
      </c>
      <c r="H289">
        <v>12</v>
      </c>
      <c r="I289">
        <v>6.9</v>
      </c>
    </row>
    <row r="290" spans="1:9" x14ac:dyDescent="0.3">
      <c r="A290">
        <v>924</v>
      </c>
      <c r="B290">
        <v>1394</v>
      </c>
      <c r="C290">
        <v>2023</v>
      </c>
      <c r="D290">
        <v>4</v>
      </c>
      <c r="E290">
        <v>6</v>
      </c>
      <c r="F290">
        <v>3</v>
      </c>
      <c r="G290">
        <v>27</v>
      </c>
      <c r="H290">
        <v>8</v>
      </c>
      <c r="I290">
        <v>6.6</v>
      </c>
    </row>
    <row r="291" spans="1:9" x14ac:dyDescent="0.3">
      <c r="A291">
        <v>927</v>
      </c>
      <c r="B291">
        <v>1395</v>
      </c>
      <c r="C291">
        <v>2023</v>
      </c>
      <c r="D291">
        <v>4</v>
      </c>
      <c r="E291">
        <v>5</v>
      </c>
      <c r="F291">
        <v>12</v>
      </c>
      <c r="G291">
        <v>55</v>
      </c>
      <c r="H291">
        <v>10</v>
      </c>
      <c r="I291">
        <v>8.3000000000000007</v>
      </c>
    </row>
    <row r="292" spans="1:9" x14ac:dyDescent="0.3">
      <c r="A292">
        <v>932</v>
      </c>
      <c r="B292">
        <v>1397</v>
      </c>
      <c r="C292">
        <v>2023</v>
      </c>
      <c r="D292">
        <v>2</v>
      </c>
      <c r="E292">
        <v>7</v>
      </c>
      <c r="F292">
        <v>4</v>
      </c>
      <c r="G292">
        <v>8</v>
      </c>
      <c r="H292">
        <v>3</v>
      </c>
      <c r="I292">
        <v>2.2999999999999998</v>
      </c>
    </row>
    <row r="293" spans="1:9" x14ac:dyDescent="0.3">
      <c r="A293">
        <v>935</v>
      </c>
      <c r="B293">
        <v>1398</v>
      </c>
      <c r="C293">
        <v>2023</v>
      </c>
      <c r="D293">
        <v>4</v>
      </c>
      <c r="E293">
        <v>7</v>
      </c>
      <c r="F293">
        <v>14</v>
      </c>
      <c r="G293">
        <v>19</v>
      </c>
      <c r="H293">
        <v>4</v>
      </c>
      <c r="I293">
        <v>8.9</v>
      </c>
    </row>
    <row r="294" spans="1:9" x14ac:dyDescent="0.3">
      <c r="A294">
        <v>938</v>
      </c>
      <c r="B294">
        <v>1399</v>
      </c>
      <c r="C294">
        <v>2023</v>
      </c>
      <c r="D294">
        <v>3</v>
      </c>
      <c r="E294">
        <v>6</v>
      </c>
      <c r="F294">
        <v>2</v>
      </c>
      <c r="G294">
        <v>21</v>
      </c>
      <c r="H294">
        <v>4</v>
      </c>
      <c r="I294">
        <v>5.8</v>
      </c>
    </row>
    <row r="295" spans="1:9" x14ac:dyDescent="0.3">
      <c r="A295">
        <v>941</v>
      </c>
      <c r="B295">
        <v>1400</v>
      </c>
      <c r="C295">
        <v>2023</v>
      </c>
      <c r="D295">
        <v>3</v>
      </c>
      <c r="E295">
        <v>7</v>
      </c>
      <c r="F295">
        <v>13</v>
      </c>
      <c r="G295">
        <v>14</v>
      </c>
      <c r="H295">
        <v>4</v>
      </c>
      <c r="I295">
        <v>5.5</v>
      </c>
    </row>
    <row r="296" spans="1:9" x14ac:dyDescent="0.3">
      <c r="A296">
        <v>944</v>
      </c>
      <c r="B296">
        <v>1401</v>
      </c>
      <c r="C296">
        <v>2023</v>
      </c>
      <c r="D296">
        <v>3</v>
      </c>
      <c r="E296">
        <v>4</v>
      </c>
      <c r="F296">
        <v>8</v>
      </c>
      <c r="G296">
        <v>2</v>
      </c>
      <c r="H296">
        <v>6</v>
      </c>
      <c r="I296">
        <v>5.4</v>
      </c>
    </row>
    <row r="297" spans="1:9" x14ac:dyDescent="0.3">
      <c r="A297">
        <v>947</v>
      </c>
      <c r="B297">
        <v>1402</v>
      </c>
      <c r="C297">
        <v>2023</v>
      </c>
      <c r="D297">
        <v>3</v>
      </c>
      <c r="E297">
        <v>5</v>
      </c>
      <c r="F297">
        <v>15</v>
      </c>
      <c r="G297">
        <v>37</v>
      </c>
      <c r="H297">
        <v>9</v>
      </c>
      <c r="I297">
        <v>5.3</v>
      </c>
    </row>
    <row r="298" spans="1:9" x14ac:dyDescent="0.3">
      <c r="A298">
        <v>949</v>
      </c>
      <c r="B298">
        <v>1403</v>
      </c>
      <c r="C298">
        <v>2023</v>
      </c>
      <c r="D298">
        <v>5</v>
      </c>
      <c r="E298">
        <v>5</v>
      </c>
      <c r="F298">
        <v>4</v>
      </c>
      <c r="G298">
        <v>21</v>
      </c>
      <c r="H298">
        <v>0</v>
      </c>
      <c r="I298">
        <v>13.4</v>
      </c>
    </row>
    <row r="299" spans="1:9" x14ac:dyDescent="0.3">
      <c r="A299">
        <v>952</v>
      </c>
      <c r="B299">
        <v>1404</v>
      </c>
      <c r="C299">
        <v>2023</v>
      </c>
      <c r="D299">
        <v>3</v>
      </c>
      <c r="E299">
        <v>6</v>
      </c>
      <c r="F299">
        <v>0</v>
      </c>
      <c r="G299">
        <v>22</v>
      </c>
      <c r="H299">
        <v>5</v>
      </c>
      <c r="I299">
        <v>4.7</v>
      </c>
    </row>
    <row r="300" spans="1:9" x14ac:dyDescent="0.3">
      <c r="A300">
        <v>955</v>
      </c>
      <c r="B300">
        <v>1405</v>
      </c>
      <c r="C300">
        <v>2023</v>
      </c>
      <c r="D300">
        <v>5</v>
      </c>
      <c r="E300">
        <v>6</v>
      </c>
      <c r="F300">
        <v>11</v>
      </c>
      <c r="G300">
        <v>25</v>
      </c>
      <c r="H300">
        <v>4</v>
      </c>
      <c r="I300">
        <v>10.5</v>
      </c>
    </row>
    <row r="301" spans="1:9" x14ac:dyDescent="0.3">
      <c r="A301">
        <v>958</v>
      </c>
      <c r="B301">
        <v>1406</v>
      </c>
      <c r="C301">
        <v>2023</v>
      </c>
      <c r="D301">
        <v>3</v>
      </c>
      <c r="E301">
        <v>3</v>
      </c>
      <c r="F301">
        <v>8</v>
      </c>
      <c r="G301">
        <v>31</v>
      </c>
      <c r="H301">
        <v>8</v>
      </c>
      <c r="I301">
        <v>4.4000000000000004</v>
      </c>
    </row>
    <row r="302" spans="1:9" x14ac:dyDescent="0.3">
      <c r="A302">
        <v>963</v>
      </c>
      <c r="B302">
        <v>1409</v>
      </c>
      <c r="C302">
        <v>2023</v>
      </c>
      <c r="D302">
        <v>4</v>
      </c>
      <c r="E302">
        <v>9</v>
      </c>
      <c r="F302">
        <v>2</v>
      </c>
      <c r="G302">
        <v>17</v>
      </c>
      <c r="H302">
        <v>4</v>
      </c>
      <c r="I302">
        <v>8.6</v>
      </c>
    </row>
    <row r="303" spans="1:9" x14ac:dyDescent="0.3">
      <c r="A303">
        <v>966</v>
      </c>
      <c r="B303">
        <v>1410</v>
      </c>
      <c r="C303">
        <v>2023</v>
      </c>
      <c r="D303">
        <v>5</v>
      </c>
      <c r="E303">
        <v>9</v>
      </c>
      <c r="F303">
        <v>15</v>
      </c>
      <c r="G303">
        <v>23</v>
      </c>
      <c r="H303">
        <v>5</v>
      </c>
      <c r="I303">
        <v>12.8</v>
      </c>
    </row>
    <row r="304" spans="1:9" x14ac:dyDescent="0.3">
      <c r="A304">
        <v>969</v>
      </c>
      <c r="B304">
        <v>1411</v>
      </c>
      <c r="C304">
        <v>2023</v>
      </c>
      <c r="D304">
        <v>4</v>
      </c>
      <c r="E304">
        <v>4</v>
      </c>
      <c r="F304">
        <v>12</v>
      </c>
      <c r="G304">
        <v>18</v>
      </c>
      <c r="H304">
        <v>9</v>
      </c>
      <c r="I304">
        <v>6.9</v>
      </c>
    </row>
    <row r="305" spans="1:9" x14ac:dyDescent="0.3">
      <c r="A305">
        <v>972</v>
      </c>
      <c r="B305">
        <v>1412</v>
      </c>
      <c r="C305">
        <v>2023</v>
      </c>
      <c r="D305">
        <v>3</v>
      </c>
      <c r="E305">
        <v>6</v>
      </c>
      <c r="F305">
        <v>6</v>
      </c>
      <c r="G305">
        <v>14</v>
      </c>
      <c r="H305">
        <v>2</v>
      </c>
      <c r="I305">
        <v>4.2</v>
      </c>
    </row>
    <row r="306" spans="1:9" x14ac:dyDescent="0.3">
      <c r="A306">
        <v>975</v>
      </c>
      <c r="B306">
        <v>1413</v>
      </c>
      <c r="C306">
        <v>2023</v>
      </c>
      <c r="D306">
        <v>2</v>
      </c>
      <c r="E306">
        <v>6</v>
      </c>
      <c r="F306">
        <v>1</v>
      </c>
      <c r="G306">
        <v>42</v>
      </c>
      <c r="H306">
        <v>4</v>
      </c>
      <c r="I306">
        <v>2.4</v>
      </c>
    </row>
    <row r="307" spans="1:9" x14ac:dyDescent="0.3">
      <c r="A307">
        <v>978</v>
      </c>
      <c r="B307">
        <v>1414</v>
      </c>
      <c r="C307">
        <v>2023</v>
      </c>
      <c r="D307">
        <v>3</v>
      </c>
      <c r="E307">
        <v>6</v>
      </c>
      <c r="F307">
        <v>10</v>
      </c>
      <c r="G307">
        <v>39</v>
      </c>
      <c r="H307">
        <v>6</v>
      </c>
      <c r="I307">
        <v>5.2</v>
      </c>
    </row>
    <row r="308" spans="1:9" x14ac:dyDescent="0.3">
      <c r="A308">
        <v>981</v>
      </c>
      <c r="B308">
        <v>1415</v>
      </c>
      <c r="C308">
        <v>2023</v>
      </c>
      <c r="D308">
        <v>2</v>
      </c>
      <c r="E308">
        <v>3</v>
      </c>
      <c r="F308">
        <v>1</v>
      </c>
      <c r="G308">
        <v>27</v>
      </c>
      <c r="H308">
        <v>9</v>
      </c>
      <c r="I308">
        <v>2.2999999999999998</v>
      </c>
    </row>
    <row r="309" spans="1:9" x14ac:dyDescent="0.3">
      <c r="A309">
        <v>984</v>
      </c>
      <c r="B309">
        <v>1416</v>
      </c>
      <c r="C309">
        <v>2023</v>
      </c>
      <c r="D309">
        <v>3</v>
      </c>
      <c r="E309">
        <v>6</v>
      </c>
      <c r="F309">
        <v>0</v>
      </c>
      <c r="G309">
        <v>20</v>
      </c>
      <c r="H309">
        <v>2</v>
      </c>
      <c r="I309">
        <v>5.2</v>
      </c>
    </row>
    <row r="310" spans="1:9" x14ac:dyDescent="0.3">
      <c r="A310">
        <v>988</v>
      </c>
      <c r="B310">
        <v>1418</v>
      </c>
      <c r="C310">
        <v>2023</v>
      </c>
      <c r="D310">
        <v>4</v>
      </c>
      <c r="E310">
        <v>4</v>
      </c>
      <c r="F310">
        <v>11</v>
      </c>
      <c r="G310">
        <v>7</v>
      </c>
      <c r="H310">
        <v>4</v>
      </c>
      <c r="I310">
        <v>7.6</v>
      </c>
    </row>
    <row r="311" spans="1:9" x14ac:dyDescent="0.3">
      <c r="A311">
        <v>991</v>
      </c>
      <c r="B311">
        <v>1419</v>
      </c>
      <c r="C311">
        <v>2023</v>
      </c>
      <c r="D311">
        <v>5</v>
      </c>
      <c r="E311">
        <v>5</v>
      </c>
      <c r="F311">
        <v>13</v>
      </c>
      <c r="G311">
        <v>25</v>
      </c>
      <c r="H311">
        <v>6</v>
      </c>
      <c r="I311">
        <v>13.4</v>
      </c>
    </row>
    <row r="312" spans="1:9" x14ac:dyDescent="0.3">
      <c r="A312">
        <v>994</v>
      </c>
      <c r="B312">
        <v>1420</v>
      </c>
      <c r="C312">
        <v>2023</v>
      </c>
      <c r="D312">
        <v>3</v>
      </c>
      <c r="E312">
        <v>6</v>
      </c>
      <c r="F312">
        <v>14</v>
      </c>
      <c r="G312">
        <v>5</v>
      </c>
      <c r="H312">
        <v>2</v>
      </c>
      <c r="I312">
        <v>4.8</v>
      </c>
    </row>
    <row r="313" spans="1:9" x14ac:dyDescent="0.3">
      <c r="A313">
        <v>997</v>
      </c>
      <c r="B313">
        <v>1421</v>
      </c>
      <c r="C313">
        <v>2023</v>
      </c>
      <c r="D313">
        <v>3</v>
      </c>
      <c r="E313">
        <v>8</v>
      </c>
      <c r="F313">
        <v>8</v>
      </c>
      <c r="G313">
        <v>12</v>
      </c>
      <c r="H313">
        <v>3</v>
      </c>
      <c r="I313">
        <v>5.8</v>
      </c>
    </row>
    <row r="314" spans="1:9" x14ac:dyDescent="0.3">
      <c r="A314">
        <v>1000</v>
      </c>
      <c r="B314">
        <v>1422</v>
      </c>
      <c r="C314">
        <v>2023</v>
      </c>
      <c r="D314">
        <v>3</v>
      </c>
      <c r="E314">
        <v>5</v>
      </c>
      <c r="F314">
        <v>18</v>
      </c>
      <c r="G314">
        <v>25</v>
      </c>
      <c r="H314">
        <v>10</v>
      </c>
      <c r="I314">
        <v>4.9000000000000004</v>
      </c>
    </row>
    <row r="315" spans="1:9" x14ac:dyDescent="0.3">
      <c r="A315">
        <v>1001</v>
      </c>
      <c r="B315">
        <v>1424</v>
      </c>
      <c r="C315">
        <v>2023</v>
      </c>
      <c r="D315">
        <v>3</v>
      </c>
      <c r="E315">
        <v>8</v>
      </c>
      <c r="F315">
        <v>12</v>
      </c>
      <c r="G315">
        <v>34</v>
      </c>
      <c r="H315">
        <v>4</v>
      </c>
      <c r="I315">
        <v>5.3</v>
      </c>
    </row>
    <row r="316" spans="1:9" x14ac:dyDescent="0.3">
      <c r="A316">
        <v>1004</v>
      </c>
      <c r="B316">
        <v>1427</v>
      </c>
      <c r="C316">
        <v>2023</v>
      </c>
      <c r="D316">
        <v>3</v>
      </c>
      <c r="E316">
        <v>7</v>
      </c>
      <c r="F316">
        <v>15</v>
      </c>
      <c r="G316">
        <v>33</v>
      </c>
      <c r="H316">
        <v>3</v>
      </c>
      <c r="I316">
        <v>5.5</v>
      </c>
    </row>
    <row r="317" spans="1:9" x14ac:dyDescent="0.3">
      <c r="A317">
        <v>1010</v>
      </c>
      <c r="B317">
        <v>1430</v>
      </c>
      <c r="C317">
        <v>2023</v>
      </c>
      <c r="D317">
        <v>4</v>
      </c>
      <c r="E317">
        <v>8</v>
      </c>
      <c r="F317">
        <v>15</v>
      </c>
      <c r="G317">
        <v>27</v>
      </c>
      <c r="H317">
        <v>8</v>
      </c>
      <c r="I317">
        <v>7.4</v>
      </c>
    </row>
    <row r="318" spans="1:9" x14ac:dyDescent="0.3">
      <c r="A318">
        <v>1013</v>
      </c>
      <c r="B318">
        <v>1431</v>
      </c>
      <c r="C318">
        <v>2023</v>
      </c>
      <c r="D318">
        <v>5</v>
      </c>
      <c r="E318">
        <v>7</v>
      </c>
      <c r="F318">
        <v>2</v>
      </c>
      <c r="G318">
        <v>22</v>
      </c>
      <c r="H318">
        <v>4</v>
      </c>
      <c r="I318">
        <v>13.7</v>
      </c>
    </row>
    <row r="319" spans="1:9" x14ac:dyDescent="0.3">
      <c r="A319">
        <v>1016</v>
      </c>
      <c r="B319">
        <v>1432</v>
      </c>
      <c r="C319">
        <v>2023</v>
      </c>
      <c r="D319">
        <v>3</v>
      </c>
      <c r="E319">
        <v>3</v>
      </c>
      <c r="F319">
        <v>10</v>
      </c>
      <c r="G319">
        <v>26</v>
      </c>
      <c r="H319">
        <v>6</v>
      </c>
      <c r="I319">
        <v>3.8</v>
      </c>
    </row>
    <row r="320" spans="1:9" x14ac:dyDescent="0.3">
      <c r="A320">
        <v>1019</v>
      </c>
      <c r="B320">
        <v>1433</v>
      </c>
      <c r="C320">
        <v>2023</v>
      </c>
      <c r="E320">
        <v>4</v>
      </c>
      <c r="F320">
        <v>18</v>
      </c>
      <c r="G320">
        <v>27</v>
      </c>
      <c r="H320">
        <v>7</v>
      </c>
      <c r="I320">
        <v>6.7</v>
      </c>
    </row>
    <row r="321" spans="1:9" x14ac:dyDescent="0.3">
      <c r="A321">
        <v>1020</v>
      </c>
      <c r="B321">
        <v>1434</v>
      </c>
      <c r="C321">
        <v>2023</v>
      </c>
      <c r="D321">
        <v>2</v>
      </c>
      <c r="E321">
        <v>6</v>
      </c>
      <c r="F321">
        <v>11</v>
      </c>
      <c r="G321">
        <v>16</v>
      </c>
      <c r="H321">
        <v>6</v>
      </c>
      <c r="I321">
        <v>1.1000000000000001</v>
      </c>
    </row>
    <row r="322" spans="1:9" x14ac:dyDescent="0.3">
      <c r="A322">
        <v>1022</v>
      </c>
      <c r="B322">
        <v>1435</v>
      </c>
      <c r="C322">
        <v>2023</v>
      </c>
      <c r="D322">
        <v>4</v>
      </c>
      <c r="E322">
        <v>8</v>
      </c>
      <c r="F322">
        <v>4</v>
      </c>
      <c r="G322">
        <v>13</v>
      </c>
      <c r="H322">
        <v>2</v>
      </c>
      <c r="I322">
        <v>8.8000000000000007</v>
      </c>
    </row>
    <row r="323" spans="1:9" x14ac:dyDescent="0.3">
      <c r="A323">
        <v>1025</v>
      </c>
      <c r="B323">
        <v>1437</v>
      </c>
      <c r="C323">
        <v>2023</v>
      </c>
      <c r="D323">
        <v>5</v>
      </c>
      <c r="E323">
        <v>10</v>
      </c>
      <c r="F323">
        <v>6</v>
      </c>
      <c r="G323">
        <v>28</v>
      </c>
      <c r="H323">
        <v>5</v>
      </c>
      <c r="I323">
        <v>10.8</v>
      </c>
    </row>
    <row r="324" spans="1:9" x14ac:dyDescent="0.3">
      <c r="A324">
        <v>1028</v>
      </c>
      <c r="B324">
        <v>1438</v>
      </c>
      <c r="C324">
        <v>2023</v>
      </c>
      <c r="D324">
        <v>3</v>
      </c>
      <c r="E324">
        <v>7</v>
      </c>
      <c r="F324">
        <v>13</v>
      </c>
      <c r="G324">
        <v>25</v>
      </c>
      <c r="H324">
        <v>5</v>
      </c>
      <c r="I324">
        <v>4.4000000000000004</v>
      </c>
    </row>
    <row r="325" spans="1:9" x14ac:dyDescent="0.3">
      <c r="A325">
        <v>1031</v>
      </c>
      <c r="B325">
        <v>1439</v>
      </c>
      <c r="C325">
        <v>2023</v>
      </c>
      <c r="D325">
        <v>5</v>
      </c>
      <c r="E325">
        <v>6</v>
      </c>
      <c r="F325">
        <v>20</v>
      </c>
      <c r="G325">
        <v>18</v>
      </c>
      <c r="H325">
        <v>7</v>
      </c>
      <c r="I325">
        <v>10.4</v>
      </c>
    </row>
    <row r="326" spans="1:9" x14ac:dyDescent="0.3">
      <c r="A326">
        <v>1034</v>
      </c>
      <c r="B326">
        <v>1440</v>
      </c>
      <c r="C326">
        <v>2023</v>
      </c>
      <c r="D326">
        <v>3</v>
      </c>
      <c r="E326">
        <v>8</v>
      </c>
      <c r="F326">
        <v>9</v>
      </c>
      <c r="G326">
        <v>10</v>
      </c>
      <c r="H326">
        <v>4</v>
      </c>
      <c r="I326">
        <v>3.4</v>
      </c>
    </row>
    <row r="327" spans="1:9" x14ac:dyDescent="0.3">
      <c r="A327">
        <v>1037</v>
      </c>
      <c r="B327">
        <v>1441</v>
      </c>
      <c r="C327">
        <v>2023</v>
      </c>
      <c r="D327">
        <v>2</v>
      </c>
      <c r="E327">
        <v>7</v>
      </c>
      <c r="F327">
        <v>0</v>
      </c>
      <c r="G327">
        <v>15</v>
      </c>
      <c r="H327">
        <v>2</v>
      </c>
      <c r="I327">
        <v>2.4</v>
      </c>
    </row>
    <row r="328" spans="1:9" x14ac:dyDescent="0.3">
      <c r="A328">
        <v>1042</v>
      </c>
      <c r="B328">
        <v>1443</v>
      </c>
      <c r="C328">
        <v>2023</v>
      </c>
      <c r="D328">
        <v>3</v>
      </c>
      <c r="E328">
        <v>2</v>
      </c>
      <c r="F328">
        <v>4</v>
      </c>
      <c r="G328">
        <v>17</v>
      </c>
      <c r="H328">
        <v>3</v>
      </c>
      <c r="I328">
        <v>4.5999999999999996</v>
      </c>
    </row>
    <row r="329" spans="1:9" x14ac:dyDescent="0.3">
      <c r="A329">
        <v>1047</v>
      </c>
      <c r="B329">
        <v>1445</v>
      </c>
      <c r="C329">
        <v>2023</v>
      </c>
      <c r="D329">
        <v>3</v>
      </c>
      <c r="E329">
        <v>5</v>
      </c>
      <c r="F329">
        <v>17</v>
      </c>
      <c r="G329">
        <v>28</v>
      </c>
      <c r="H329">
        <v>2</v>
      </c>
      <c r="I329">
        <v>4.7</v>
      </c>
    </row>
    <row r="330" spans="1:9" x14ac:dyDescent="0.3">
      <c r="A330">
        <v>1052</v>
      </c>
      <c r="B330">
        <v>1447</v>
      </c>
      <c r="C330">
        <v>2023</v>
      </c>
      <c r="D330">
        <v>3</v>
      </c>
      <c r="E330">
        <v>6</v>
      </c>
      <c r="F330">
        <v>5</v>
      </c>
      <c r="G330">
        <v>38</v>
      </c>
      <c r="H330">
        <v>12</v>
      </c>
      <c r="I330">
        <v>4.0999999999999996</v>
      </c>
    </row>
    <row r="331" spans="1:9" x14ac:dyDescent="0.3">
      <c r="A331">
        <v>1055</v>
      </c>
      <c r="B331">
        <v>1448</v>
      </c>
      <c r="C331">
        <v>2023</v>
      </c>
      <c r="D331">
        <v>3</v>
      </c>
      <c r="E331">
        <v>7</v>
      </c>
      <c r="F331">
        <v>15</v>
      </c>
      <c r="G331">
        <v>4</v>
      </c>
      <c r="H331">
        <v>0</v>
      </c>
      <c r="I331">
        <v>5.0999999999999996</v>
      </c>
    </row>
    <row r="332" spans="1:9" x14ac:dyDescent="0.3">
      <c r="A332">
        <v>1060</v>
      </c>
      <c r="B332">
        <v>1450</v>
      </c>
      <c r="C332">
        <v>2023</v>
      </c>
      <c r="D332">
        <v>4</v>
      </c>
      <c r="E332">
        <v>5</v>
      </c>
      <c r="F332">
        <v>18</v>
      </c>
      <c r="G332">
        <v>9</v>
      </c>
      <c r="H332">
        <v>5</v>
      </c>
      <c r="I332">
        <v>6.9</v>
      </c>
    </row>
    <row r="333" spans="1:9" x14ac:dyDescent="0.3">
      <c r="A333">
        <v>1063</v>
      </c>
      <c r="B333">
        <v>1451</v>
      </c>
      <c r="C333">
        <v>2023</v>
      </c>
      <c r="D333">
        <v>4</v>
      </c>
      <c r="E333">
        <v>7</v>
      </c>
      <c r="F333">
        <v>1</v>
      </c>
      <c r="G333">
        <v>30</v>
      </c>
      <c r="H333">
        <v>6</v>
      </c>
      <c r="I333">
        <v>9.6999999999999993</v>
      </c>
    </row>
    <row r="334" spans="1:9" x14ac:dyDescent="0.3">
      <c r="A334">
        <v>1066</v>
      </c>
      <c r="B334">
        <v>1452</v>
      </c>
      <c r="C334">
        <v>2023</v>
      </c>
      <c r="D334">
        <v>4</v>
      </c>
      <c r="E334">
        <v>8</v>
      </c>
      <c r="F334">
        <v>11</v>
      </c>
      <c r="G334">
        <v>14</v>
      </c>
      <c r="H334">
        <v>8</v>
      </c>
      <c r="I334">
        <v>8.6999999999999993</v>
      </c>
    </row>
    <row r="335" spans="1:9" x14ac:dyDescent="0.3">
      <c r="A335">
        <v>1069</v>
      </c>
      <c r="B335">
        <v>1453</v>
      </c>
      <c r="C335">
        <v>2023</v>
      </c>
      <c r="D335">
        <v>2</v>
      </c>
      <c r="E335">
        <v>7</v>
      </c>
      <c r="F335">
        <v>1</v>
      </c>
      <c r="G335">
        <v>34</v>
      </c>
      <c r="H335">
        <v>3</v>
      </c>
      <c r="I335">
        <v>1.9</v>
      </c>
    </row>
    <row r="336" spans="1:9" x14ac:dyDescent="0.3">
      <c r="A336">
        <v>1074</v>
      </c>
      <c r="B336">
        <v>1455</v>
      </c>
      <c r="C336">
        <v>2023</v>
      </c>
      <c r="D336">
        <v>3</v>
      </c>
      <c r="E336">
        <v>4</v>
      </c>
      <c r="F336">
        <v>10</v>
      </c>
      <c r="G336">
        <v>15</v>
      </c>
      <c r="H336">
        <v>6</v>
      </c>
      <c r="I336">
        <v>6.1</v>
      </c>
    </row>
    <row r="337" spans="1:9" x14ac:dyDescent="0.3">
      <c r="A337">
        <v>1079</v>
      </c>
      <c r="B337">
        <v>1457</v>
      </c>
      <c r="C337">
        <v>2023</v>
      </c>
      <c r="D337">
        <v>4</v>
      </c>
      <c r="E337">
        <v>5</v>
      </c>
      <c r="F337">
        <v>12</v>
      </c>
      <c r="G337">
        <v>19</v>
      </c>
      <c r="H337">
        <v>3</v>
      </c>
      <c r="I337">
        <v>7.2</v>
      </c>
    </row>
    <row r="338" spans="1:9" x14ac:dyDescent="0.3">
      <c r="A338">
        <v>1080</v>
      </c>
      <c r="B338">
        <v>1458</v>
      </c>
      <c r="C338">
        <v>2023</v>
      </c>
      <c r="D338">
        <v>3</v>
      </c>
      <c r="E338">
        <v>6</v>
      </c>
      <c r="F338">
        <v>7</v>
      </c>
      <c r="G338">
        <v>29</v>
      </c>
      <c r="H338">
        <v>5</v>
      </c>
      <c r="I338">
        <v>4.5999999999999996</v>
      </c>
    </row>
    <row r="339" spans="1:9" x14ac:dyDescent="0.3">
      <c r="A339">
        <v>1083</v>
      </c>
      <c r="B339">
        <v>1459</v>
      </c>
      <c r="C339">
        <v>2023</v>
      </c>
      <c r="D339">
        <v>5</v>
      </c>
      <c r="E339">
        <v>6</v>
      </c>
      <c r="F339">
        <v>8</v>
      </c>
      <c r="G339">
        <v>21</v>
      </c>
      <c r="H339">
        <v>4</v>
      </c>
      <c r="I339">
        <v>12.6</v>
      </c>
    </row>
    <row r="340" spans="1:9" x14ac:dyDescent="0.3">
      <c r="A340">
        <v>1085</v>
      </c>
      <c r="B340">
        <v>1460</v>
      </c>
      <c r="C340">
        <v>2023</v>
      </c>
      <c r="D340">
        <v>4</v>
      </c>
      <c r="E340">
        <v>7</v>
      </c>
      <c r="F340">
        <v>8</v>
      </c>
      <c r="G340">
        <v>30</v>
      </c>
      <c r="H340">
        <v>3</v>
      </c>
      <c r="I340">
        <v>8.6999999999999993</v>
      </c>
    </row>
    <row r="341" spans="1:9" x14ac:dyDescent="0.3">
      <c r="A341">
        <v>1088</v>
      </c>
      <c r="B341">
        <v>1461</v>
      </c>
      <c r="C341">
        <v>2023</v>
      </c>
      <c r="D341">
        <v>2</v>
      </c>
      <c r="E341">
        <v>7</v>
      </c>
      <c r="F341">
        <v>10</v>
      </c>
      <c r="G341">
        <v>12</v>
      </c>
      <c r="H341">
        <v>5</v>
      </c>
      <c r="I341">
        <v>1.1000000000000001</v>
      </c>
    </row>
    <row r="342" spans="1:9" x14ac:dyDescent="0.3">
      <c r="A342">
        <v>1091</v>
      </c>
      <c r="B342">
        <v>1462</v>
      </c>
      <c r="C342">
        <v>2023</v>
      </c>
      <c r="D342">
        <v>4</v>
      </c>
      <c r="E342">
        <v>8</v>
      </c>
      <c r="F342">
        <v>1</v>
      </c>
      <c r="G342">
        <v>20</v>
      </c>
      <c r="H342">
        <v>5</v>
      </c>
      <c r="I342">
        <v>8.8000000000000007</v>
      </c>
    </row>
    <row r="343" spans="1:9" x14ac:dyDescent="0.3">
      <c r="A343">
        <v>1094</v>
      </c>
      <c r="B343">
        <v>1463</v>
      </c>
      <c r="C343">
        <v>2023</v>
      </c>
      <c r="D343">
        <v>3</v>
      </c>
      <c r="E343">
        <v>10</v>
      </c>
      <c r="F343">
        <v>4</v>
      </c>
      <c r="G343">
        <v>29</v>
      </c>
      <c r="H343">
        <v>5</v>
      </c>
      <c r="I343">
        <v>5.7</v>
      </c>
    </row>
    <row r="344" spans="1:9" x14ac:dyDescent="0.3">
      <c r="A344">
        <v>1097</v>
      </c>
      <c r="B344">
        <v>1464</v>
      </c>
      <c r="C344">
        <v>2023</v>
      </c>
      <c r="D344">
        <v>3</v>
      </c>
      <c r="E344">
        <v>7</v>
      </c>
      <c r="F344">
        <v>1</v>
      </c>
      <c r="G344">
        <v>18</v>
      </c>
      <c r="H344">
        <v>5</v>
      </c>
      <c r="I344">
        <v>5.0999999999999996</v>
      </c>
    </row>
    <row r="345" spans="1:9" x14ac:dyDescent="0.3">
      <c r="A345">
        <v>1100</v>
      </c>
      <c r="B345">
        <v>1465</v>
      </c>
      <c r="C345">
        <v>2023</v>
      </c>
      <c r="D345">
        <v>4</v>
      </c>
      <c r="E345">
        <v>6</v>
      </c>
      <c r="F345">
        <v>17</v>
      </c>
      <c r="G345">
        <v>39</v>
      </c>
      <c r="H345">
        <v>3</v>
      </c>
      <c r="I345">
        <v>9</v>
      </c>
    </row>
    <row r="346" spans="1:9" x14ac:dyDescent="0.3">
      <c r="A346">
        <v>1103</v>
      </c>
      <c r="B346">
        <v>1466</v>
      </c>
      <c r="C346">
        <v>2023</v>
      </c>
      <c r="D346">
        <v>2</v>
      </c>
      <c r="E346">
        <v>5</v>
      </c>
      <c r="F346">
        <v>6</v>
      </c>
      <c r="G346">
        <v>35</v>
      </c>
      <c r="H346">
        <v>0</v>
      </c>
      <c r="I346">
        <v>2</v>
      </c>
    </row>
    <row r="347" spans="1:9" x14ac:dyDescent="0.3">
      <c r="A347">
        <v>1107</v>
      </c>
      <c r="B347">
        <v>1469</v>
      </c>
      <c r="C347">
        <v>2023</v>
      </c>
      <c r="D347">
        <v>4</v>
      </c>
      <c r="E347">
        <v>4</v>
      </c>
      <c r="F347">
        <v>4</v>
      </c>
      <c r="G347">
        <v>8</v>
      </c>
      <c r="H347">
        <v>6</v>
      </c>
      <c r="I347">
        <v>8.8000000000000007</v>
      </c>
    </row>
    <row r="348" spans="1:9" x14ac:dyDescent="0.3">
      <c r="A348">
        <v>1110</v>
      </c>
      <c r="B348">
        <v>1470</v>
      </c>
      <c r="C348">
        <v>2023</v>
      </c>
      <c r="D348">
        <v>3</v>
      </c>
      <c r="E348">
        <v>6</v>
      </c>
      <c r="F348">
        <v>6</v>
      </c>
      <c r="G348">
        <v>24</v>
      </c>
      <c r="H348">
        <v>6</v>
      </c>
      <c r="I348">
        <v>6.2</v>
      </c>
    </row>
    <row r="349" spans="1:9" x14ac:dyDescent="0.3">
      <c r="A349">
        <v>1113</v>
      </c>
      <c r="B349">
        <v>1471</v>
      </c>
      <c r="C349">
        <v>2023</v>
      </c>
      <c r="D349">
        <v>3</v>
      </c>
      <c r="E349">
        <v>6</v>
      </c>
      <c r="F349">
        <v>10</v>
      </c>
      <c r="G349">
        <v>29</v>
      </c>
      <c r="H349">
        <v>8</v>
      </c>
      <c r="I349">
        <v>2.8</v>
      </c>
    </row>
    <row r="350" spans="1:9" x14ac:dyDescent="0.3">
      <c r="A350">
        <v>1116</v>
      </c>
      <c r="B350">
        <v>1472</v>
      </c>
      <c r="C350">
        <v>2023</v>
      </c>
      <c r="D350">
        <v>4</v>
      </c>
      <c r="E350">
        <v>10</v>
      </c>
      <c r="F350">
        <v>9</v>
      </c>
      <c r="G350">
        <v>18</v>
      </c>
      <c r="H350">
        <v>4</v>
      </c>
      <c r="I350">
        <v>7.6</v>
      </c>
    </row>
    <row r="351" spans="1:9" x14ac:dyDescent="0.3">
      <c r="A351">
        <v>1119</v>
      </c>
      <c r="B351">
        <v>1473</v>
      </c>
      <c r="C351">
        <v>2023</v>
      </c>
      <c r="D351">
        <v>4</v>
      </c>
      <c r="E351">
        <v>8</v>
      </c>
      <c r="F351">
        <v>15</v>
      </c>
      <c r="G351">
        <v>30</v>
      </c>
      <c r="H351">
        <v>6</v>
      </c>
      <c r="I351">
        <v>7.6</v>
      </c>
    </row>
    <row r="352" spans="1:9" x14ac:dyDescent="0.3">
      <c r="A352">
        <v>1124</v>
      </c>
      <c r="B352">
        <v>1475</v>
      </c>
      <c r="C352">
        <v>2023</v>
      </c>
      <c r="D352">
        <v>4</v>
      </c>
      <c r="E352">
        <v>5</v>
      </c>
      <c r="F352">
        <v>10</v>
      </c>
      <c r="G352">
        <v>32</v>
      </c>
      <c r="H352">
        <v>6</v>
      </c>
      <c r="I352">
        <v>6.1</v>
      </c>
    </row>
    <row r="353" spans="1:9" x14ac:dyDescent="0.3">
      <c r="A353">
        <v>1127</v>
      </c>
      <c r="B353">
        <v>1476</v>
      </c>
      <c r="C353">
        <v>2023</v>
      </c>
      <c r="D353">
        <v>5</v>
      </c>
      <c r="E353">
        <v>4</v>
      </c>
      <c r="F353">
        <v>0</v>
      </c>
      <c r="G353">
        <v>27</v>
      </c>
      <c r="H353">
        <v>9</v>
      </c>
      <c r="I353">
        <v>11.7</v>
      </c>
    </row>
    <row r="354" spans="1:9" x14ac:dyDescent="0.3">
      <c r="A354">
        <v>1129</v>
      </c>
      <c r="B354">
        <v>1477</v>
      </c>
      <c r="C354">
        <v>2023</v>
      </c>
      <c r="D354">
        <v>2</v>
      </c>
      <c r="E354">
        <v>6</v>
      </c>
      <c r="F354">
        <v>11</v>
      </c>
      <c r="G354">
        <v>32</v>
      </c>
      <c r="H354">
        <v>5</v>
      </c>
      <c r="I354">
        <v>0.8</v>
      </c>
    </row>
    <row r="355" spans="1:9" x14ac:dyDescent="0.3">
      <c r="A355">
        <v>1132</v>
      </c>
      <c r="B355">
        <v>1478</v>
      </c>
      <c r="C355">
        <v>2023</v>
      </c>
      <c r="D355">
        <v>4</v>
      </c>
      <c r="E355">
        <v>6</v>
      </c>
      <c r="F355">
        <v>3</v>
      </c>
      <c r="G355">
        <v>20</v>
      </c>
      <c r="H355">
        <v>4</v>
      </c>
      <c r="I355">
        <v>9</v>
      </c>
    </row>
    <row r="356" spans="1:9" x14ac:dyDescent="0.3">
      <c r="A356">
        <v>1136</v>
      </c>
      <c r="B356">
        <v>1480</v>
      </c>
      <c r="C356">
        <v>2023</v>
      </c>
      <c r="D356">
        <v>2</v>
      </c>
      <c r="E356">
        <v>8</v>
      </c>
      <c r="F356">
        <v>7</v>
      </c>
      <c r="G356">
        <v>21</v>
      </c>
      <c r="H356">
        <v>3</v>
      </c>
      <c r="I356">
        <v>2.9</v>
      </c>
    </row>
    <row r="357" spans="1:9" x14ac:dyDescent="0.3">
      <c r="A357">
        <v>2</v>
      </c>
      <c r="B357">
        <v>1001</v>
      </c>
      <c r="C357">
        <v>2024</v>
      </c>
      <c r="D357">
        <v>4</v>
      </c>
      <c r="E357">
        <v>5</v>
      </c>
      <c r="F357">
        <v>8</v>
      </c>
      <c r="G357">
        <v>36</v>
      </c>
      <c r="H357">
        <v>3</v>
      </c>
      <c r="I357">
        <v>7</v>
      </c>
    </row>
    <row r="358" spans="1:9" x14ac:dyDescent="0.3">
      <c r="A358">
        <v>5</v>
      </c>
      <c r="B358">
        <v>1002</v>
      </c>
      <c r="C358">
        <v>2024</v>
      </c>
      <c r="D358">
        <v>4</v>
      </c>
      <c r="E358">
        <v>7</v>
      </c>
      <c r="F358">
        <v>3</v>
      </c>
      <c r="G358">
        <v>37</v>
      </c>
      <c r="H358">
        <v>2</v>
      </c>
      <c r="I358">
        <v>7.7</v>
      </c>
    </row>
    <row r="359" spans="1:9" x14ac:dyDescent="0.3">
      <c r="A359">
        <v>5</v>
      </c>
      <c r="B359">
        <v>1002</v>
      </c>
      <c r="C359">
        <v>2024</v>
      </c>
      <c r="D359">
        <v>4</v>
      </c>
      <c r="E359">
        <v>7</v>
      </c>
      <c r="F359">
        <v>3</v>
      </c>
      <c r="G359">
        <v>37</v>
      </c>
      <c r="H359">
        <v>2</v>
      </c>
      <c r="I359">
        <v>7.7</v>
      </c>
    </row>
    <row r="360" spans="1:9" x14ac:dyDescent="0.3">
      <c r="A360">
        <v>8</v>
      </c>
      <c r="B360">
        <v>1003</v>
      </c>
      <c r="C360">
        <v>2024</v>
      </c>
      <c r="E360">
        <v>6</v>
      </c>
      <c r="F360">
        <v>8</v>
      </c>
      <c r="G360">
        <v>34</v>
      </c>
      <c r="H360">
        <v>13</v>
      </c>
      <c r="I360">
        <v>8.6</v>
      </c>
    </row>
    <row r="361" spans="1:9" x14ac:dyDescent="0.3">
      <c r="A361">
        <v>10</v>
      </c>
      <c r="B361">
        <v>1005</v>
      </c>
      <c r="C361">
        <v>2024</v>
      </c>
      <c r="D361">
        <v>2</v>
      </c>
      <c r="E361">
        <v>5</v>
      </c>
      <c r="F361">
        <v>13</v>
      </c>
      <c r="G361">
        <v>6</v>
      </c>
      <c r="H361">
        <v>10</v>
      </c>
      <c r="I361">
        <v>1.5</v>
      </c>
    </row>
    <row r="362" spans="1:9" x14ac:dyDescent="0.3">
      <c r="A362">
        <v>13</v>
      </c>
      <c r="B362">
        <v>1006</v>
      </c>
      <c r="C362">
        <v>2024</v>
      </c>
      <c r="D362">
        <v>3</v>
      </c>
      <c r="E362">
        <v>5</v>
      </c>
      <c r="F362">
        <v>2</v>
      </c>
      <c r="G362">
        <v>11</v>
      </c>
      <c r="H362">
        <v>3</v>
      </c>
      <c r="I362">
        <v>5.0999999999999996</v>
      </c>
    </row>
    <row r="363" spans="1:9" x14ac:dyDescent="0.3">
      <c r="A363">
        <v>17</v>
      </c>
      <c r="B363">
        <v>1008</v>
      </c>
      <c r="C363">
        <v>2024</v>
      </c>
      <c r="D363">
        <v>4</v>
      </c>
      <c r="E363">
        <v>3</v>
      </c>
      <c r="F363">
        <v>3</v>
      </c>
      <c r="G363">
        <v>10</v>
      </c>
      <c r="H363">
        <v>6</v>
      </c>
      <c r="I363">
        <v>6.2</v>
      </c>
    </row>
    <row r="364" spans="1:9" x14ac:dyDescent="0.3">
      <c r="A364">
        <v>21</v>
      </c>
      <c r="B364">
        <v>1011</v>
      </c>
      <c r="C364">
        <v>2024</v>
      </c>
      <c r="D364">
        <v>3</v>
      </c>
      <c r="E364">
        <v>9</v>
      </c>
      <c r="F364">
        <v>1</v>
      </c>
      <c r="G364">
        <v>11</v>
      </c>
      <c r="H364">
        <v>2</v>
      </c>
      <c r="I364">
        <v>4.4000000000000004</v>
      </c>
    </row>
    <row r="365" spans="1:9" x14ac:dyDescent="0.3">
      <c r="A365">
        <v>25</v>
      </c>
      <c r="B365">
        <v>1014</v>
      </c>
      <c r="C365">
        <v>2024</v>
      </c>
      <c r="D365">
        <v>4</v>
      </c>
      <c r="E365">
        <v>4</v>
      </c>
      <c r="F365">
        <v>7</v>
      </c>
      <c r="G365">
        <v>24</v>
      </c>
      <c r="H365">
        <v>12</v>
      </c>
      <c r="I365">
        <v>8</v>
      </c>
    </row>
    <row r="366" spans="1:9" x14ac:dyDescent="0.3">
      <c r="A366">
        <v>27</v>
      </c>
      <c r="B366">
        <v>1015</v>
      </c>
      <c r="C366">
        <v>2024</v>
      </c>
      <c r="D366">
        <v>4</v>
      </c>
      <c r="E366">
        <v>8</v>
      </c>
      <c r="F366">
        <v>0</v>
      </c>
      <c r="G366">
        <v>38</v>
      </c>
      <c r="H366">
        <v>5</v>
      </c>
      <c r="I366">
        <v>7.2</v>
      </c>
    </row>
    <row r="367" spans="1:9" x14ac:dyDescent="0.3">
      <c r="A367">
        <v>30</v>
      </c>
      <c r="B367">
        <v>1016</v>
      </c>
      <c r="C367">
        <v>2024</v>
      </c>
      <c r="D367">
        <v>4</v>
      </c>
      <c r="E367">
        <v>6</v>
      </c>
      <c r="F367">
        <v>3</v>
      </c>
      <c r="G367">
        <v>32</v>
      </c>
      <c r="H367">
        <v>6</v>
      </c>
      <c r="I367">
        <v>8.4</v>
      </c>
    </row>
    <row r="368" spans="1:9" x14ac:dyDescent="0.3">
      <c r="A368">
        <v>33</v>
      </c>
      <c r="B368">
        <v>1017</v>
      </c>
      <c r="C368">
        <v>2024</v>
      </c>
      <c r="D368">
        <v>45</v>
      </c>
      <c r="E368">
        <v>5</v>
      </c>
      <c r="F368">
        <v>1</v>
      </c>
      <c r="G368">
        <v>20</v>
      </c>
      <c r="H368">
        <v>9</v>
      </c>
      <c r="I368">
        <v>9</v>
      </c>
    </row>
    <row r="369" spans="1:9" x14ac:dyDescent="0.3">
      <c r="A369">
        <v>36</v>
      </c>
      <c r="B369">
        <v>1018</v>
      </c>
      <c r="C369">
        <v>2024</v>
      </c>
      <c r="D369">
        <v>3</v>
      </c>
      <c r="E369">
        <v>7</v>
      </c>
      <c r="F369">
        <v>15</v>
      </c>
      <c r="G369">
        <v>39</v>
      </c>
      <c r="H369">
        <v>3</v>
      </c>
      <c r="I369">
        <v>5.8</v>
      </c>
    </row>
    <row r="370" spans="1:9" x14ac:dyDescent="0.3">
      <c r="A370">
        <v>39</v>
      </c>
      <c r="B370">
        <v>1019</v>
      </c>
      <c r="C370">
        <v>2024</v>
      </c>
      <c r="D370">
        <v>3</v>
      </c>
      <c r="E370">
        <v>3</v>
      </c>
      <c r="F370">
        <v>5</v>
      </c>
      <c r="G370">
        <v>7</v>
      </c>
      <c r="H370">
        <v>9</v>
      </c>
      <c r="I370">
        <v>6.8</v>
      </c>
    </row>
    <row r="371" spans="1:9" x14ac:dyDescent="0.3">
      <c r="A371">
        <v>41</v>
      </c>
      <c r="B371">
        <v>1020</v>
      </c>
      <c r="C371">
        <v>2024</v>
      </c>
      <c r="D371">
        <v>4</v>
      </c>
      <c r="E371">
        <v>7</v>
      </c>
      <c r="F371">
        <v>0</v>
      </c>
      <c r="G371">
        <v>23</v>
      </c>
      <c r="H371">
        <v>5</v>
      </c>
      <c r="I371">
        <v>7.2</v>
      </c>
    </row>
    <row r="372" spans="1:9" x14ac:dyDescent="0.3">
      <c r="A372">
        <v>45</v>
      </c>
      <c r="B372">
        <v>1022</v>
      </c>
      <c r="C372">
        <v>2024</v>
      </c>
      <c r="D372">
        <v>5</v>
      </c>
      <c r="E372">
        <v>4</v>
      </c>
      <c r="F372">
        <v>15</v>
      </c>
      <c r="G372">
        <v>32</v>
      </c>
      <c r="H372">
        <v>9</v>
      </c>
      <c r="I372">
        <v>13</v>
      </c>
    </row>
    <row r="373" spans="1:9" x14ac:dyDescent="0.3">
      <c r="A373">
        <v>48</v>
      </c>
      <c r="B373">
        <v>1023</v>
      </c>
      <c r="C373">
        <v>2024</v>
      </c>
      <c r="D373">
        <v>4</v>
      </c>
      <c r="E373">
        <v>6</v>
      </c>
      <c r="F373">
        <v>0</v>
      </c>
      <c r="G373">
        <v>8</v>
      </c>
      <c r="H373">
        <v>5</v>
      </c>
      <c r="I373">
        <v>7.5</v>
      </c>
    </row>
    <row r="374" spans="1:9" x14ac:dyDescent="0.3">
      <c r="A374">
        <v>51</v>
      </c>
      <c r="B374">
        <v>1024</v>
      </c>
      <c r="C374">
        <v>2024</v>
      </c>
      <c r="D374">
        <v>3</v>
      </c>
      <c r="E374">
        <v>6</v>
      </c>
      <c r="F374">
        <v>1</v>
      </c>
      <c r="G374">
        <v>21</v>
      </c>
      <c r="H374">
        <v>3</v>
      </c>
      <c r="I374">
        <v>5.4</v>
      </c>
    </row>
    <row r="375" spans="1:9" x14ac:dyDescent="0.3">
      <c r="A375">
        <v>54</v>
      </c>
      <c r="B375">
        <v>1025</v>
      </c>
      <c r="C375">
        <v>2024</v>
      </c>
      <c r="D375">
        <v>3</v>
      </c>
      <c r="E375">
        <v>8</v>
      </c>
      <c r="F375">
        <v>17</v>
      </c>
      <c r="G375">
        <v>4</v>
      </c>
      <c r="H375">
        <v>5</v>
      </c>
      <c r="I375">
        <v>3.1</v>
      </c>
    </row>
    <row r="376" spans="1:9" x14ac:dyDescent="0.3">
      <c r="A376">
        <v>57</v>
      </c>
      <c r="B376">
        <v>1026</v>
      </c>
      <c r="C376">
        <v>2024</v>
      </c>
      <c r="D376">
        <v>5</v>
      </c>
      <c r="E376">
        <v>7</v>
      </c>
      <c r="F376">
        <v>21</v>
      </c>
      <c r="G376">
        <v>30</v>
      </c>
      <c r="H376">
        <v>3</v>
      </c>
      <c r="I376">
        <v>11.9</v>
      </c>
    </row>
    <row r="377" spans="1:9" x14ac:dyDescent="0.3">
      <c r="A377">
        <v>60</v>
      </c>
      <c r="B377">
        <v>1028</v>
      </c>
      <c r="C377">
        <v>2024</v>
      </c>
      <c r="D377">
        <v>5</v>
      </c>
      <c r="E377">
        <v>6</v>
      </c>
      <c r="F377">
        <v>2</v>
      </c>
      <c r="G377">
        <v>25</v>
      </c>
      <c r="H377">
        <v>6</v>
      </c>
      <c r="I377">
        <v>13.6</v>
      </c>
    </row>
    <row r="378" spans="1:9" x14ac:dyDescent="0.3">
      <c r="A378">
        <v>63</v>
      </c>
      <c r="B378">
        <v>1029</v>
      </c>
      <c r="C378">
        <v>2024</v>
      </c>
      <c r="D378">
        <v>4</v>
      </c>
      <c r="E378">
        <v>5</v>
      </c>
      <c r="F378">
        <v>17</v>
      </c>
      <c r="G378">
        <v>25</v>
      </c>
      <c r="H378">
        <v>5</v>
      </c>
      <c r="I378">
        <v>6.8</v>
      </c>
    </row>
    <row r="379" spans="1:9" x14ac:dyDescent="0.3">
      <c r="A379">
        <v>66</v>
      </c>
      <c r="B379">
        <v>1030</v>
      </c>
      <c r="C379">
        <v>2024</v>
      </c>
      <c r="D379">
        <v>3</v>
      </c>
      <c r="E379">
        <v>4</v>
      </c>
      <c r="F379">
        <v>12</v>
      </c>
      <c r="G379">
        <v>25</v>
      </c>
      <c r="H379">
        <v>8</v>
      </c>
      <c r="I379">
        <v>2.2999999999999998</v>
      </c>
    </row>
    <row r="380" spans="1:9" x14ac:dyDescent="0.3">
      <c r="A380">
        <v>69</v>
      </c>
      <c r="B380">
        <v>1031</v>
      </c>
      <c r="C380">
        <v>2024</v>
      </c>
      <c r="D380">
        <v>3</v>
      </c>
      <c r="E380">
        <v>8</v>
      </c>
      <c r="F380">
        <v>18</v>
      </c>
      <c r="G380">
        <v>29</v>
      </c>
      <c r="H380">
        <v>3</v>
      </c>
      <c r="I380">
        <v>6.5</v>
      </c>
    </row>
    <row r="381" spans="1:9" x14ac:dyDescent="0.3">
      <c r="A381">
        <v>72</v>
      </c>
      <c r="B381">
        <v>1032</v>
      </c>
      <c r="C381">
        <v>2024</v>
      </c>
      <c r="D381">
        <v>3</v>
      </c>
      <c r="E381">
        <v>4</v>
      </c>
      <c r="F381">
        <v>0</v>
      </c>
      <c r="G381">
        <v>31</v>
      </c>
      <c r="H381">
        <v>2</v>
      </c>
      <c r="I381">
        <v>4.0999999999999996</v>
      </c>
    </row>
    <row r="382" spans="1:9" x14ac:dyDescent="0.3">
      <c r="A382">
        <v>75</v>
      </c>
      <c r="B382">
        <v>1034</v>
      </c>
      <c r="C382">
        <v>2024</v>
      </c>
      <c r="D382">
        <v>3</v>
      </c>
      <c r="E382">
        <v>5</v>
      </c>
      <c r="F382">
        <v>1</v>
      </c>
      <c r="G382">
        <v>4</v>
      </c>
      <c r="H382">
        <v>12</v>
      </c>
      <c r="I382">
        <v>5.4</v>
      </c>
    </row>
    <row r="383" spans="1:9" x14ac:dyDescent="0.3">
      <c r="A383">
        <v>77</v>
      </c>
      <c r="B383">
        <v>1035</v>
      </c>
      <c r="C383">
        <v>2024</v>
      </c>
      <c r="D383">
        <v>3</v>
      </c>
      <c r="E383">
        <v>6</v>
      </c>
      <c r="F383">
        <v>13</v>
      </c>
      <c r="G383">
        <v>20</v>
      </c>
      <c r="H383">
        <v>3</v>
      </c>
      <c r="I383">
        <v>3.9</v>
      </c>
    </row>
    <row r="384" spans="1:9" x14ac:dyDescent="0.3">
      <c r="A384">
        <v>80</v>
      </c>
      <c r="B384">
        <v>1036</v>
      </c>
      <c r="C384">
        <v>2024</v>
      </c>
      <c r="D384">
        <v>3</v>
      </c>
      <c r="F384">
        <v>10</v>
      </c>
      <c r="G384">
        <v>19</v>
      </c>
      <c r="H384">
        <v>4</v>
      </c>
      <c r="I384">
        <v>3.8</v>
      </c>
    </row>
    <row r="385" spans="1:9" x14ac:dyDescent="0.3">
      <c r="A385">
        <v>83</v>
      </c>
      <c r="B385">
        <v>1037</v>
      </c>
      <c r="C385">
        <v>2024</v>
      </c>
      <c r="D385">
        <v>5</v>
      </c>
      <c r="E385">
        <v>6</v>
      </c>
      <c r="F385">
        <v>16</v>
      </c>
      <c r="G385">
        <v>22</v>
      </c>
      <c r="H385">
        <v>6</v>
      </c>
      <c r="I385">
        <v>11.4</v>
      </c>
    </row>
    <row r="386" spans="1:9" x14ac:dyDescent="0.3">
      <c r="A386">
        <v>86</v>
      </c>
      <c r="B386">
        <v>1038</v>
      </c>
      <c r="C386">
        <v>2024</v>
      </c>
      <c r="D386">
        <v>4</v>
      </c>
      <c r="E386">
        <v>9</v>
      </c>
      <c r="F386">
        <v>11</v>
      </c>
      <c r="G386">
        <v>22</v>
      </c>
      <c r="H386">
        <v>3</v>
      </c>
      <c r="I386">
        <v>7.9</v>
      </c>
    </row>
    <row r="387" spans="1:9" x14ac:dyDescent="0.3">
      <c r="A387">
        <v>90</v>
      </c>
      <c r="B387">
        <v>1040</v>
      </c>
      <c r="C387">
        <v>2024</v>
      </c>
      <c r="D387">
        <v>4</v>
      </c>
      <c r="E387">
        <v>7</v>
      </c>
      <c r="F387">
        <v>27</v>
      </c>
      <c r="G387">
        <v>29</v>
      </c>
      <c r="H387">
        <v>4</v>
      </c>
      <c r="I387">
        <v>10</v>
      </c>
    </row>
    <row r="388" spans="1:9" x14ac:dyDescent="0.3">
      <c r="A388">
        <v>93</v>
      </c>
      <c r="B388">
        <v>1042</v>
      </c>
      <c r="C388">
        <v>2024</v>
      </c>
      <c r="D388">
        <v>2</v>
      </c>
      <c r="E388">
        <v>9</v>
      </c>
      <c r="F388">
        <v>4</v>
      </c>
      <c r="G388">
        <v>6</v>
      </c>
      <c r="H388">
        <v>2</v>
      </c>
      <c r="I388">
        <v>2.8</v>
      </c>
    </row>
    <row r="389" spans="1:9" x14ac:dyDescent="0.3">
      <c r="A389">
        <v>96</v>
      </c>
      <c r="B389">
        <v>1043</v>
      </c>
      <c r="C389">
        <v>2024</v>
      </c>
      <c r="D389">
        <v>3</v>
      </c>
      <c r="E389">
        <v>9</v>
      </c>
      <c r="F389">
        <v>6</v>
      </c>
      <c r="G389">
        <v>35</v>
      </c>
      <c r="H389">
        <v>2</v>
      </c>
      <c r="I389">
        <v>5.8</v>
      </c>
    </row>
    <row r="390" spans="1:9" x14ac:dyDescent="0.3">
      <c r="A390">
        <v>98</v>
      </c>
      <c r="B390">
        <v>1044</v>
      </c>
      <c r="C390">
        <v>2024</v>
      </c>
      <c r="D390">
        <v>4</v>
      </c>
      <c r="E390">
        <v>8</v>
      </c>
      <c r="F390">
        <v>5</v>
      </c>
      <c r="G390">
        <v>35</v>
      </c>
      <c r="H390">
        <v>1</v>
      </c>
      <c r="I390">
        <v>8.5</v>
      </c>
    </row>
    <row r="391" spans="1:9" x14ac:dyDescent="0.3">
      <c r="A391">
        <v>101</v>
      </c>
      <c r="B391">
        <v>1045</v>
      </c>
      <c r="C391">
        <v>2024</v>
      </c>
      <c r="D391">
        <v>3</v>
      </c>
      <c r="F391">
        <v>0</v>
      </c>
      <c r="G391">
        <v>5</v>
      </c>
      <c r="H391">
        <v>10</v>
      </c>
      <c r="I391">
        <v>5.5</v>
      </c>
    </row>
    <row r="392" spans="1:9" x14ac:dyDescent="0.3">
      <c r="A392">
        <v>104</v>
      </c>
      <c r="B392">
        <v>1046</v>
      </c>
      <c r="C392">
        <v>2024</v>
      </c>
      <c r="D392">
        <v>4</v>
      </c>
      <c r="E392">
        <v>7</v>
      </c>
      <c r="F392">
        <v>13</v>
      </c>
      <c r="G392">
        <v>26</v>
      </c>
      <c r="H392">
        <v>6</v>
      </c>
      <c r="I392">
        <v>8.1</v>
      </c>
    </row>
    <row r="393" spans="1:9" x14ac:dyDescent="0.3">
      <c r="A393">
        <v>107</v>
      </c>
      <c r="B393">
        <v>1047</v>
      </c>
      <c r="C393">
        <v>2024</v>
      </c>
      <c r="D393">
        <v>1</v>
      </c>
      <c r="E393">
        <v>6</v>
      </c>
      <c r="F393">
        <v>5</v>
      </c>
      <c r="G393">
        <v>17</v>
      </c>
      <c r="H393">
        <v>4</v>
      </c>
      <c r="I393">
        <v>0</v>
      </c>
    </row>
    <row r="394" spans="1:9" x14ac:dyDescent="0.3">
      <c r="A394">
        <v>109</v>
      </c>
      <c r="B394">
        <v>1048</v>
      </c>
      <c r="C394">
        <v>2024</v>
      </c>
      <c r="D394">
        <v>5</v>
      </c>
      <c r="E394">
        <v>6</v>
      </c>
      <c r="F394">
        <v>8</v>
      </c>
      <c r="G394">
        <v>14</v>
      </c>
      <c r="H394">
        <v>2</v>
      </c>
      <c r="I394">
        <v>11.2</v>
      </c>
    </row>
    <row r="395" spans="1:9" x14ac:dyDescent="0.3">
      <c r="A395">
        <v>112</v>
      </c>
      <c r="B395">
        <v>1049</v>
      </c>
      <c r="C395">
        <v>2024</v>
      </c>
      <c r="D395">
        <v>5</v>
      </c>
      <c r="E395">
        <v>8</v>
      </c>
      <c r="F395">
        <v>6</v>
      </c>
      <c r="G395">
        <v>11</v>
      </c>
      <c r="H395">
        <v>1</v>
      </c>
      <c r="I395">
        <v>11.7</v>
      </c>
    </row>
    <row r="396" spans="1:9" x14ac:dyDescent="0.3">
      <c r="A396">
        <v>115</v>
      </c>
      <c r="B396">
        <v>1050</v>
      </c>
      <c r="C396">
        <v>2024</v>
      </c>
      <c r="D396">
        <v>4</v>
      </c>
      <c r="E396">
        <v>5</v>
      </c>
      <c r="F396">
        <v>0</v>
      </c>
      <c r="G396">
        <v>30</v>
      </c>
      <c r="H396">
        <v>3</v>
      </c>
      <c r="I396">
        <v>8.1999999999999993</v>
      </c>
    </row>
    <row r="397" spans="1:9" x14ac:dyDescent="0.3">
      <c r="A397">
        <v>118</v>
      </c>
      <c r="B397">
        <v>1051</v>
      </c>
      <c r="C397">
        <v>2024</v>
      </c>
      <c r="D397">
        <v>3</v>
      </c>
      <c r="E397">
        <v>9</v>
      </c>
      <c r="F397">
        <v>0</v>
      </c>
      <c r="G397">
        <v>31</v>
      </c>
      <c r="H397">
        <v>6</v>
      </c>
      <c r="I397">
        <v>7.1</v>
      </c>
    </row>
    <row r="398" spans="1:9" x14ac:dyDescent="0.3">
      <c r="A398">
        <v>121</v>
      </c>
      <c r="B398">
        <v>1052</v>
      </c>
      <c r="C398">
        <v>2024</v>
      </c>
      <c r="D398">
        <v>3</v>
      </c>
      <c r="E398">
        <v>8</v>
      </c>
      <c r="F398">
        <v>6</v>
      </c>
      <c r="G398">
        <v>26</v>
      </c>
      <c r="H398">
        <v>1</v>
      </c>
      <c r="I398">
        <v>3</v>
      </c>
    </row>
    <row r="399" spans="1:9" x14ac:dyDescent="0.3">
      <c r="A399">
        <v>124</v>
      </c>
      <c r="B399">
        <v>1053</v>
      </c>
      <c r="C399">
        <v>2024</v>
      </c>
      <c r="D399">
        <v>5</v>
      </c>
      <c r="E399">
        <v>10</v>
      </c>
      <c r="F399">
        <v>1</v>
      </c>
      <c r="G399">
        <v>2</v>
      </c>
      <c r="H399">
        <v>4</v>
      </c>
      <c r="I399">
        <v>12.5</v>
      </c>
    </row>
    <row r="400" spans="1:9" x14ac:dyDescent="0.3">
      <c r="A400">
        <v>127</v>
      </c>
      <c r="B400">
        <v>1054</v>
      </c>
      <c r="C400">
        <v>2024</v>
      </c>
      <c r="D400">
        <v>4</v>
      </c>
      <c r="E400">
        <v>7</v>
      </c>
      <c r="F400">
        <v>2</v>
      </c>
      <c r="G400">
        <v>33</v>
      </c>
      <c r="H400">
        <v>2</v>
      </c>
      <c r="I400">
        <v>8.6999999999999993</v>
      </c>
    </row>
    <row r="401" spans="1:9" x14ac:dyDescent="0.3">
      <c r="A401">
        <v>130</v>
      </c>
      <c r="B401">
        <v>1055</v>
      </c>
      <c r="C401">
        <v>2024</v>
      </c>
      <c r="D401">
        <v>4</v>
      </c>
      <c r="E401">
        <v>4</v>
      </c>
      <c r="F401">
        <v>10</v>
      </c>
      <c r="G401">
        <v>22</v>
      </c>
      <c r="H401">
        <v>4</v>
      </c>
      <c r="I401">
        <v>7.4</v>
      </c>
    </row>
    <row r="402" spans="1:9" x14ac:dyDescent="0.3">
      <c r="A402">
        <v>133</v>
      </c>
      <c r="B402">
        <v>1056</v>
      </c>
      <c r="C402">
        <v>2024</v>
      </c>
      <c r="D402">
        <v>4</v>
      </c>
      <c r="E402">
        <v>4</v>
      </c>
      <c r="F402">
        <v>15</v>
      </c>
      <c r="G402">
        <v>23</v>
      </c>
      <c r="H402">
        <v>6</v>
      </c>
      <c r="I402">
        <v>8.5</v>
      </c>
    </row>
    <row r="403" spans="1:9" x14ac:dyDescent="0.3">
      <c r="A403">
        <v>135</v>
      </c>
      <c r="B403">
        <v>1057</v>
      </c>
      <c r="C403">
        <v>2024</v>
      </c>
      <c r="E403">
        <v>6</v>
      </c>
      <c r="F403">
        <v>11</v>
      </c>
      <c r="G403">
        <v>21</v>
      </c>
      <c r="H403">
        <v>5</v>
      </c>
      <c r="I403">
        <v>7.7</v>
      </c>
    </row>
    <row r="404" spans="1:9" x14ac:dyDescent="0.3">
      <c r="A404">
        <v>138</v>
      </c>
      <c r="B404">
        <v>1058</v>
      </c>
      <c r="C404">
        <v>2024</v>
      </c>
      <c r="D404">
        <v>4</v>
      </c>
      <c r="E404">
        <v>7</v>
      </c>
      <c r="F404">
        <v>0</v>
      </c>
      <c r="G404">
        <v>23</v>
      </c>
      <c r="H404">
        <v>3</v>
      </c>
      <c r="I404">
        <v>8.4</v>
      </c>
    </row>
    <row r="405" spans="1:9" x14ac:dyDescent="0.3">
      <c r="A405">
        <v>141</v>
      </c>
      <c r="B405">
        <v>1059</v>
      </c>
      <c r="C405">
        <v>2024</v>
      </c>
      <c r="D405">
        <v>3</v>
      </c>
      <c r="E405">
        <v>8</v>
      </c>
      <c r="F405">
        <v>2</v>
      </c>
      <c r="G405">
        <v>12</v>
      </c>
      <c r="H405">
        <v>4</v>
      </c>
      <c r="I405">
        <v>5</v>
      </c>
    </row>
    <row r="406" spans="1:9" x14ac:dyDescent="0.3">
      <c r="A406">
        <v>145</v>
      </c>
      <c r="B406">
        <v>1062</v>
      </c>
      <c r="C406">
        <v>2024</v>
      </c>
      <c r="D406">
        <v>3</v>
      </c>
      <c r="E406">
        <v>8</v>
      </c>
      <c r="F406">
        <v>10</v>
      </c>
      <c r="G406">
        <v>5</v>
      </c>
      <c r="H406">
        <v>2</v>
      </c>
      <c r="I406">
        <v>4.5999999999999996</v>
      </c>
    </row>
    <row r="407" spans="1:9" x14ac:dyDescent="0.3">
      <c r="A407">
        <v>148</v>
      </c>
      <c r="B407">
        <v>1063</v>
      </c>
      <c r="C407">
        <v>2024</v>
      </c>
      <c r="D407">
        <v>4</v>
      </c>
      <c r="E407">
        <v>6</v>
      </c>
      <c r="F407">
        <v>0</v>
      </c>
      <c r="G407">
        <v>26</v>
      </c>
      <c r="H407">
        <v>2</v>
      </c>
      <c r="I407">
        <v>8.3000000000000007</v>
      </c>
    </row>
    <row r="408" spans="1:9" x14ac:dyDescent="0.3">
      <c r="A408">
        <v>152</v>
      </c>
      <c r="B408">
        <v>1065</v>
      </c>
      <c r="C408">
        <v>2024</v>
      </c>
      <c r="D408">
        <v>3</v>
      </c>
      <c r="E408">
        <v>8</v>
      </c>
      <c r="F408">
        <v>4</v>
      </c>
      <c r="G408">
        <v>9</v>
      </c>
      <c r="H408">
        <v>8</v>
      </c>
      <c r="I408">
        <v>4.5999999999999996</v>
      </c>
    </row>
    <row r="409" spans="1:9" x14ac:dyDescent="0.3">
      <c r="A409">
        <v>154</v>
      </c>
      <c r="B409">
        <v>1066</v>
      </c>
      <c r="C409">
        <v>2024</v>
      </c>
      <c r="D409">
        <v>2</v>
      </c>
      <c r="E409">
        <v>8</v>
      </c>
      <c r="F409">
        <v>6</v>
      </c>
      <c r="G409">
        <v>21</v>
      </c>
      <c r="H409">
        <v>5</v>
      </c>
      <c r="I409">
        <v>1.1000000000000001</v>
      </c>
    </row>
    <row r="410" spans="1:9" x14ac:dyDescent="0.3">
      <c r="A410">
        <v>157</v>
      </c>
      <c r="B410">
        <v>1067</v>
      </c>
      <c r="C410">
        <v>2024</v>
      </c>
      <c r="D410">
        <v>3</v>
      </c>
      <c r="E410">
        <v>9</v>
      </c>
      <c r="F410">
        <v>12</v>
      </c>
      <c r="G410">
        <v>26</v>
      </c>
      <c r="H410">
        <v>2</v>
      </c>
      <c r="I410">
        <v>4</v>
      </c>
    </row>
    <row r="411" spans="1:9" x14ac:dyDescent="0.3">
      <c r="A411">
        <v>160</v>
      </c>
      <c r="B411">
        <v>1068</v>
      </c>
      <c r="C411">
        <v>2024</v>
      </c>
      <c r="D411">
        <v>4</v>
      </c>
      <c r="E411">
        <v>6</v>
      </c>
      <c r="F411">
        <v>5</v>
      </c>
      <c r="G411">
        <v>16</v>
      </c>
      <c r="H411">
        <v>5</v>
      </c>
      <c r="I411">
        <v>6.5</v>
      </c>
    </row>
    <row r="412" spans="1:9" x14ac:dyDescent="0.3">
      <c r="A412">
        <v>162</v>
      </c>
      <c r="B412">
        <v>1069</v>
      </c>
      <c r="C412">
        <v>2024</v>
      </c>
      <c r="D412">
        <v>2</v>
      </c>
      <c r="E412">
        <v>8</v>
      </c>
      <c r="F412">
        <v>0</v>
      </c>
      <c r="G412">
        <v>0</v>
      </c>
      <c r="H412">
        <v>4</v>
      </c>
      <c r="I412">
        <v>1.6</v>
      </c>
    </row>
    <row r="413" spans="1:9" x14ac:dyDescent="0.3">
      <c r="A413">
        <v>165</v>
      </c>
      <c r="B413">
        <v>1070</v>
      </c>
      <c r="C413">
        <v>2024</v>
      </c>
      <c r="D413">
        <v>3</v>
      </c>
      <c r="E413">
        <v>4</v>
      </c>
      <c r="F413">
        <v>9</v>
      </c>
      <c r="G413">
        <v>13</v>
      </c>
      <c r="H413">
        <v>10</v>
      </c>
      <c r="I413">
        <v>3.8</v>
      </c>
    </row>
    <row r="414" spans="1:9" x14ac:dyDescent="0.3">
      <c r="A414">
        <v>168</v>
      </c>
      <c r="B414">
        <v>1071</v>
      </c>
      <c r="C414">
        <v>2024</v>
      </c>
      <c r="D414">
        <v>4</v>
      </c>
      <c r="E414">
        <v>8</v>
      </c>
      <c r="F414">
        <v>21</v>
      </c>
      <c r="G414">
        <v>29</v>
      </c>
      <c r="H414">
        <v>1</v>
      </c>
      <c r="I414">
        <v>9.3000000000000007</v>
      </c>
    </row>
    <row r="415" spans="1:9" x14ac:dyDescent="0.3">
      <c r="A415">
        <v>171</v>
      </c>
      <c r="B415">
        <v>1072</v>
      </c>
      <c r="C415">
        <v>2024</v>
      </c>
      <c r="D415">
        <v>3</v>
      </c>
      <c r="E415">
        <v>6</v>
      </c>
      <c r="F415">
        <v>8</v>
      </c>
      <c r="G415">
        <v>6</v>
      </c>
      <c r="H415">
        <v>4</v>
      </c>
      <c r="I415">
        <v>5.0999999999999996</v>
      </c>
    </row>
    <row r="416" spans="1:9" x14ac:dyDescent="0.3">
      <c r="A416">
        <v>174</v>
      </c>
      <c r="B416">
        <v>1073</v>
      </c>
      <c r="C416">
        <v>2024</v>
      </c>
      <c r="D416">
        <v>4</v>
      </c>
      <c r="E416">
        <v>7</v>
      </c>
      <c r="F416">
        <v>8</v>
      </c>
      <c r="G416">
        <v>28</v>
      </c>
      <c r="H416">
        <v>0</v>
      </c>
      <c r="I416">
        <v>7.9</v>
      </c>
    </row>
    <row r="417" spans="1:9" x14ac:dyDescent="0.3">
      <c r="A417">
        <v>176</v>
      </c>
      <c r="B417">
        <v>1074</v>
      </c>
      <c r="C417">
        <v>2024</v>
      </c>
      <c r="D417">
        <v>3</v>
      </c>
      <c r="E417">
        <v>5</v>
      </c>
      <c r="F417">
        <v>15</v>
      </c>
      <c r="G417">
        <v>17</v>
      </c>
      <c r="H417">
        <v>9</v>
      </c>
      <c r="I417">
        <v>4.7</v>
      </c>
    </row>
    <row r="418" spans="1:9" x14ac:dyDescent="0.3">
      <c r="A418">
        <v>179</v>
      </c>
      <c r="B418">
        <v>1075</v>
      </c>
      <c r="C418">
        <v>2024</v>
      </c>
      <c r="D418">
        <v>3</v>
      </c>
      <c r="E418">
        <v>7</v>
      </c>
      <c r="F418">
        <v>5</v>
      </c>
      <c r="G418">
        <v>16</v>
      </c>
      <c r="H418">
        <v>2</v>
      </c>
      <c r="I418">
        <v>2.8</v>
      </c>
    </row>
    <row r="419" spans="1:9" x14ac:dyDescent="0.3">
      <c r="A419">
        <v>181</v>
      </c>
      <c r="B419">
        <v>1076</v>
      </c>
      <c r="C419">
        <v>2024</v>
      </c>
      <c r="D419">
        <v>2</v>
      </c>
      <c r="E419">
        <v>5</v>
      </c>
      <c r="F419">
        <v>22</v>
      </c>
      <c r="G419">
        <v>22</v>
      </c>
      <c r="H419">
        <v>6</v>
      </c>
      <c r="I419">
        <v>0.9</v>
      </c>
    </row>
    <row r="420" spans="1:9" x14ac:dyDescent="0.3">
      <c r="A420">
        <v>184</v>
      </c>
      <c r="B420">
        <v>1078</v>
      </c>
      <c r="C420">
        <v>2024</v>
      </c>
      <c r="D420">
        <v>2</v>
      </c>
      <c r="E420">
        <v>8</v>
      </c>
      <c r="F420">
        <v>10</v>
      </c>
      <c r="G420">
        <v>34</v>
      </c>
      <c r="H420">
        <v>5</v>
      </c>
      <c r="I420">
        <v>3</v>
      </c>
    </row>
    <row r="421" spans="1:9" x14ac:dyDescent="0.3">
      <c r="A421">
        <v>187</v>
      </c>
      <c r="B421">
        <v>1079</v>
      </c>
      <c r="C421">
        <v>2024</v>
      </c>
      <c r="D421">
        <v>3</v>
      </c>
      <c r="E421">
        <v>7</v>
      </c>
      <c r="F421">
        <v>15</v>
      </c>
      <c r="G421">
        <v>23</v>
      </c>
      <c r="H421">
        <v>4</v>
      </c>
      <c r="I421">
        <v>5.2</v>
      </c>
    </row>
    <row r="422" spans="1:9" x14ac:dyDescent="0.3">
      <c r="A422">
        <v>190</v>
      </c>
      <c r="B422">
        <v>1080</v>
      </c>
      <c r="C422">
        <v>2024</v>
      </c>
      <c r="D422">
        <v>4</v>
      </c>
      <c r="E422">
        <v>5</v>
      </c>
      <c r="F422">
        <v>15</v>
      </c>
      <c r="G422">
        <v>19</v>
      </c>
      <c r="H422">
        <v>2</v>
      </c>
      <c r="I422">
        <v>7.7</v>
      </c>
    </row>
    <row r="423" spans="1:9" x14ac:dyDescent="0.3">
      <c r="A423">
        <v>194</v>
      </c>
      <c r="B423">
        <v>1082</v>
      </c>
      <c r="C423">
        <v>2024</v>
      </c>
      <c r="D423">
        <v>3</v>
      </c>
      <c r="E423">
        <v>9</v>
      </c>
      <c r="F423">
        <v>0</v>
      </c>
      <c r="G423">
        <v>27</v>
      </c>
      <c r="H423">
        <v>1</v>
      </c>
      <c r="I423">
        <v>5.3</v>
      </c>
    </row>
    <row r="424" spans="1:9" x14ac:dyDescent="0.3">
      <c r="A424">
        <v>197</v>
      </c>
      <c r="B424">
        <v>1083</v>
      </c>
      <c r="C424">
        <v>2024</v>
      </c>
      <c r="D424">
        <v>5</v>
      </c>
      <c r="E424">
        <v>7</v>
      </c>
      <c r="F424">
        <v>9</v>
      </c>
      <c r="G424">
        <v>40</v>
      </c>
      <c r="H424">
        <v>3</v>
      </c>
      <c r="I424">
        <v>11.5</v>
      </c>
    </row>
    <row r="425" spans="1:9" x14ac:dyDescent="0.3">
      <c r="A425">
        <v>200</v>
      </c>
      <c r="B425">
        <v>1084</v>
      </c>
      <c r="C425">
        <v>2024</v>
      </c>
      <c r="D425">
        <v>3</v>
      </c>
      <c r="E425">
        <v>7</v>
      </c>
      <c r="F425">
        <v>7</v>
      </c>
      <c r="G425">
        <v>28</v>
      </c>
      <c r="H425">
        <v>6</v>
      </c>
      <c r="I425">
        <v>4.5</v>
      </c>
    </row>
    <row r="426" spans="1:9" x14ac:dyDescent="0.3">
      <c r="A426">
        <v>204</v>
      </c>
      <c r="B426">
        <v>1086</v>
      </c>
      <c r="C426">
        <v>2024</v>
      </c>
      <c r="D426">
        <v>4</v>
      </c>
      <c r="E426">
        <v>7</v>
      </c>
      <c r="F426">
        <v>9</v>
      </c>
      <c r="G426">
        <v>35</v>
      </c>
      <c r="H426">
        <v>2</v>
      </c>
      <c r="I426">
        <v>8.6</v>
      </c>
    </row>
    <row r="427" spans="1:9" x14ac:dyDescent="0.3">
      <c r="A427">
        <v>207</v>
      </c>
      <c r="B427">
        <v>1087</v>
      </c>
      <c r="C427">
        <v>2024</v>
      </c>
      <c r="D427">
        <v>3</v>
      </c>
      <c r="E427">
        <v>5</v>
      </c>
      <c r="F427">
        <v>13</v>
      </c>
      <c r="G427">
        <v>31</v>
      </c>
      <c r="H427">
        <v>3</v>
      </c>
      <c r="I427">
        <v>4.4000000000000004</v>
      </c>
    </row>
    <row r="428" spans="1:9" x14ac:dyDescent="0.3">
      <c r="A428">
        <v>209</v>
      </c>
      <c r="B428">
        <v>1088</v>
      </c>
      <c r="C428">
        <v>2024</v>
      </c>
      <c r="D428">
        <v>5</v>
      </c>
      <c r="E428">
        <v>10</v>
      </c>
      <c r="F428">
        <v>1</v>
      </c>
      <c r="G428">
        <v>35</v>
      </c>
      <c r="H428">
        <v>5</v>
      </c>
      <c r="I428">
        <v>11.4</v>
      </c>
    </row>
    <row r="429" spans="1:9" x14ac:dyDescent="0.3">
      <c r="A429">
        <v>212</v>
      </c>
      <c r="B429">
        <v>1089</v>
      </c>
      <c r="C429">
        <v>2024</v>
      </c>
      <c r="E429">
        <v>8</v>
      </c>
      <c r="F429">
        <v>7</v>
      </c>
      <c r="G429">
        <v>28</v>
      </c>
      <c r="H429">
        <v>7</v>
      </c>
      <c r="I429">
        <v>4.8</v>
      </c>
    </row>
    <row r="430" spans="1:9" x14ac:dyDescent="0.3">
      <c r="A430">
        <v>214</v>
      </c>
      <c r="B430">
        <v>1091</v>
      </c>
      <c r="C430">
        <v>2024</v>
      </c>
      <c r="D430">
        <v>4</v>
      </c>
      <c r="E430">
        <v>5</v>
      </c>
      <c r="F430">
        <v>11</v>
      </c>
      <c r="G430">
        <v>27</v>
      </c>
      <c r="H430">
        <v>3</v>
      </c>
      <c r="I430">
        <v>7.8</v>
      </c>
    </row>
    <row r="431" spans="1:9" x14ac:dyDescent="0.3">
      <c r="A431">
        <v>217</v>
      </c>
      <c r="B431">
        <v>1092</v>
      </c>
      <c r="C431">
        <v>2024</v>
      </c>
      <c r="D431">
        <v>3</v>
      </c>
      <c r="E431">
        <v>8</v>
      </c>
      <c r="F431">
        <v>12</v>
      </c>
      <c r="G431">
        <v>31</v>
      </c>
      <c r="H431">
        <v>4</v>
      </c>
      <c r="I431">
        <v>6.2</v>
      </c>
    </row>
    <row r="432" spans="1:9" x14ac:dyDescent="0.3">
      <c r="A432">
        <v>219</v>
      </c>
      <c r="B432">
        <v>1093</v>
      </c>
      <c r="C432">
        <v>2024</v>
      </c>
      <c r="D432">
        <v>4</v>
      </c>
      <c r="E432">
        <v>5</v>
      </c>
      <c r="F432">
        <v>13</v>
      </c>
      <c r="G432">
        <v>28</v>
      </c>
      <c r="H432">
        <v>15</v>
      </c>
      <c r="I432">
        <v>7.8</v>
      </c>
    </row>
    <row r="433" spans="1:9" x14ac:dyDescent="0.3">
      <c r="A433">
        <v>221</v>
      </c>
      <c r="B433">
        <v>1094</v>
      </c>
      <c r="C433">
        <v>2024</v>
      </c>
      <c r="E433">
        <v>5</v>
      </c>
      <c r="F433">
        <v>1</v>
      </c>
      <c r="G433">
        <v>5</v>
      </c>
      <c r="H433">
        <v>8</v>
      </c>
      <c r="I433">
        <v>5.5</v>
      </c>
    </row>
    <row r="434" spans="1:9" x14ac:dyDescent="0.3">
      <c r="A434">
        <v>225</v>
      </c>
      <c r="B434">
        <v>1096</v>
      </c>
      <c r="C434">
        <v>2024</v>
      </c>
      <c r="D434">
        <v>5</v>
      </c>
      <c r="E434">
        <v>5</v>
      </c>
      <c r="F434">
        <v>8</v>
      </c>
      <c r="G434">
        <v>26</v>
      </c>
      <c r="H434">
        <v>13</v>
      </c>
      <c r="I434">
        <v>10.3</v>
      </c>
    </row>
    <row r="435" spans="1:9" x14ac:dyDescent="0.3">
      <c r="A435">
        <v>225</v>
      </c>
      <c r="B435">
        <v>1096</v>
      </c>
      <c r="C435">
        <v>2024</v>
      </c>
      <c r="D435">
        <v>5</v>
      </c>
      <c r="E435">
        <v>5</v>
      </c>
      <c r="F435">
        <v>8</v>
      </c>
      <c r="G435">
        <v>26</v>
      </c>
      <c r="H435">
        <v>13</v>
      </c>
      <c r="I435">
        <v>10.3</v>
      </c>
    </row>
    <row r="436" spans="1:9" x14ac:dyDescent="0.3">
      <c r="A436">
        <v>228</v>
      </c>
      <c r="B436">
        <v>1098</v>
      </c>
      <c r="C436">
        <v>2024</v>
      </c>
      <c r="D436">
        <v>4</v>
      </c>
      <c r="F436">
        <v>5</v>
      </c>
      <c r="G436">
        <v>14</v>
      </c>
      <c r="H436">
        <v>2</v>
      </c>
      <c r="I436">
        <v>7.5</v>
      </c>
    </row>
    <row r="437" spans="1:9" x14ac:dyDescent="0.3">
      <c r="A437">
        <v>231</v>
      </c>
      <c r="B437">
        <v>1099</v>
      </c>
      <c r="C437">
        <v>2024</v>
      </c>
      <c r="D437">
        <v>3</v>
      </c>
      <c r="E437">
        <v>5</v>
      </c>
      <c r="F437">
        <v>12</v>
      </c>
      <c r="G437">
        <v>35</v>
      </c>
      <c r="H437">
        <v>5</v>
      </c>
      <c r="I437">
        <v>3.3</v>
      </c>
    </row>
    <row r="438" spans="1:9" x14ac:dyDescent="0.3">
      <c r="A438">
        <v>234</v>
      </c>
      <c r="B438">
        <v>1100</v>
      </c>
      <c r="C438">
        <v>2024</v>
      </c>
      <c r="D438">
        <v>4</v>
      </c>
      <c r="E438">
        <v>6</v>
      </c>
      <c r="F438">
        <v>10</v>
      </c>
      <c r="G438">
        <v>18</v>
      </c>
      <c r="H438">
        <v>3</v>
      </c>
      <c r="I438">
        <v>6.6</v>
      </c>
    </row>
    <row r="439" spans="1:9" x14ac:dyDescent="0.3">
      <c r="A439">
        <v>237</v>
      </c>
      <c r="B439">
        <v>1102</v>
      </c>
      <c r="C439">
        <v>2024</v>
      </c>
      <c r="D439">
        <v>4</v>
      </c>
      <c r="E439">
        <v>9</v>
      </c>
      <c r="F439">
        <v>7</v>
      </c>
      <c r="G439">
        <v>15</v>
      </c>
      <c r="H439">
        <v>5</v>
      </c>
      <c r="I439">
        <v>8.6</v>
      </c>
    </row>
    <row r="440" spans="1:9" x14ac:dyDescent="0.3">
      <c r="A440">
        <v>241</v>
      </c>
      <c r="B440">
        <v>1104</v>
      </c>
      <c r="C440">
        <v>2024</v>
      </c>
      <c r="D440">
        <v>4</v>
      </c>
      <c r="E440">
        <v>4</v>
      </c>
      <c r="F440">
        <v>13</v>
      </c>
      <c r="G440">
        <v>36</v>
      </c>
      <c r="H440">
        <v>10</v>
      </c>
      <c r="I440">
        <v>6.1</v>
      </c>
    </row>
    <row r="441" spans="1:9" x14ac:dyDescent="0.3">
      <c r="A441">
        <v>244</v>
      </c>
      <c r="B441">
        <v>1106</v>
      </c>
      <c r="C441">
        <v>2024</v>
      </c>
      <c r="D441">
        <v>4</v>
      </c>
      <c r="E441">
        <v>6</v>
      </c>
      <c r="F441">
        <v>3</v>
      </c>
      <c r="G441">
        <v>22</v>
      </c>
      <c r="H441">
        <v>2</v>
      </c>
      <c r="I441">
        <v>7.5</v>
      </c>
    </row>
    <row r="442" spans="1:9" x14ac:dyDescent="0.3">
      <c r="A442">
        <v>247</v>
      </c>
      <c r="B442">
        <v>1107</v>
      </c>
      <c r="C442">
        <v>2024</v>
      </c>
      <c r="D442">
        <v>4</v>
      </c>
      <c r="E442">
        <v>6</v>
      </c>
      <c r="F442">
        <v>17</v>
      </c>
      <c r="G442">
        <v>31</v>
      </c>
      <c r="H442">
        <v>6</v>
      </c>
      <c r="I442">
        <v>7</v>
      </c>
    </row>
    <row r="443" spans="1:9" x14ac:dyDescent="0.3">
      <c r="A443">
        <v>250</v>
      </c>
      <c r="B443">
        <v>1108</v>
      </c>
      <c r="C443">
        <v>2024</v>
      </c>
      <c r="D443">
        <v>4</v>
      </c>
      <c r="E443">
        <v>5</v>
      </c>
      <c r="F443">
        <v>13</v>
      </c>
      <c r="G443">
        <v>6</v>
      </c>
      <c r="H443">
        <v>4</v>
      </c>
      <c r="I443">
        <v>8.6999999999999993</v>
      </c>
    </row>
    <row r="444" spans="1:9" x14ac:dyDescent="0.3">
      <c r="A444">
        <v>254</v>
      </c>
      <c r="B444">
        <v>1110</v>
      </c>
      <c r="C444">
        <v>2024</v>
      </c>
      <c r="D444">
        <v>3</v>
      </c>
      <c r="E444">
        <v>3</v>
      </c>
      <c r="F444">
        <v>4</v>
      </c>
      <c r="G444">
        <v>31</v>
      </c>
      <c r="H444">
        <v>6</v>
      </c>
      <c r="I444">
        <v>5.6</v>
      </c>
    </row>
    <row r="445" spans="1:9" x14ac:dyDescent="0.3">
      <c r="A445">
        <v>257</v>
      </c>
      <c r="B445">
        <v>1111</v>
      </c>
      <c r="C445">
        <v>2024</v>
      </c>
      <c r="D445">
        <v>4</v>
      </c>
      <c r="E445">
        <v>6</v>
      </c>
      <c r="F445">
        <v>9</v>
      </c>
      <c r="G445">
        <v>51</v>
      </c>
      <c r="H445">
        <v>5</v>
      </c>
      <c r="I445">
        <v>7.4</v>
      </c>
    </row>
    <row r="446" spans="1:9" x14ac:dyDescent="0.3">
      <c r="A446">
        <v>261</v>
      </c>
      <c r="B446">
        <v>1114</v>
      </c>
      <c r="C446">
        <v>2024</v>
      </c>
      <c r="D446">
        <v>3</v>
      </c>
      <c r="E446">
        <v>7</v>
      </c>
      <c r="F446">
        <v>3</v>
      </c>
      <c r="G446">
        <v>28</v>
      </c>
      <c r="H446">
        <v>7</v>
      </c>
      <c r="I446">
        <v>5.2</v>
      </c>
    </row>
    <row r="447" spans="1:9" x14ac:dyDescent="0.3">
      <c r="A447">
        <v>265</v>
      </c>
      <c r="B447">
        <v>1116</v>
      </c>
      <c r="C447">
        <v>2024</v>
      </c>
      <c r="D447">
        <v>4</v>
      </c>
      <c r="E447">
        <v>7</v>
      </c>
      <c r="F447">
        <v>8</v>
      </c>
      <c r="G447">
        <v>11</v>
      </c>
      <c r="H447">
        <v>7</v>
      </c>
      <c r="I447">
        <v>7.9</v>
      </c>
    </row>
    <row r="448" spans="1:9" x14ac:dyDescent="0.3">
      <c r="A448">
        <v>268</v>
      </c>
      <c r="B448">
        <v>1117</v>
      </c>
      <c r="C448">
        <v>2024</v>
      </c>
      <c r="D448">
        <v>3</v>
      </c>
      <c r="E448">
        <v>6</v>
      </c>
      <c r="F448">
        <v>20</v>
      </c>
      <c r="G448">
        <v>9</v>
      </c>
      <c r="H448">
        <v>4</v>
      </c>
      <c r="I448">
        <v>5.3</v>
      </c>
    </row>
    <row r="449" spans="1:9" x14ac:dyDescent="0.3">
      <c r="A449">
        <v>271</v>
      </c>
      <c r="B449">
        <v>1118</v>
      </c>
      <c r="C449">
        <v>2024</v>
      </c>
      <c r="D449">
        <v>3</v>
      </c>
      <c r="E449">
        <v>8</v>
      </c>
      <c r="F449">
        <v>13</v>
      </c>
      <c r="G449">
        <v>30</v>
      </c>
      <c r="H449">
        <v>4</v>
      </c>
      <c r="I449">
        <v>5.8</v>
      </c>
    </row>
    <row r="450" spans="1:9" x14ac:dyDescent="0.3">
      <c r="A450">
        <v>274</v>
      </c>
      <c r="B450">
        <v>1119</v>
      </c>
      <c r="C450">
        <v>2024</v>
      </c>
      <c r="D450">
        <v>3</v>
      </c>
      <c r="E450">
        <v>6</v>
      </c>
      <c r="F450">
        <v>7</v>
      </c>
      <c r="G450">
        <v>14</v>
      </c>
      <c r="H450">
        <v>4</v>
      </c>
      <c r="I450">
        <v>5.5</v>
      </c>
    </row>
    <row r="451" spans="1:9" x14ac:dyDescent="0.3">
      <c r="A451">
        <v>278</v>
      </c>
      <c r="B451">
        <v>1121</v>
      </c>
      <c r="C451">
        <v>2024</v>
      </c>
      <c r="D451">
        <v>4</v>
      </c>
      <c r="E451">
        <v>7</v>
      </c>
      <c r="F451">
        <v>12</v>
      </c>
      <c r="G451">
        <v>13</v>
      </c>
      <c r="H451">
        <v>5</v>
      </c>
      <c r="I451">
        <v>8.3000000000000007</v>
      </c>
    </row>
    <row r="452" spans="1:9" x14ac:dyDescent="0.3">
      <c r="A452">
        <v>281</v>
      </c>
      <c r="B452">
        <v>1122</v>
      </c>
      <c r="C452">
        <v>2024</v>
      </c>
      <c r="D452">
        <v>3</v>
      </c>
      <c r="E452">
        <v>10</v>
      </c>
      <c r="F452">
        <v>2</v>
      </c>
      <c r="G452">
        <v>0</v>
      </c>
      <c r="H452">
        <v>3</v>
      </c>
      <c r="I452">
        <v>6.4</v>
      </c>
    </row>
    <row r="453" spans="1:9" x14ac:dyDescent="0.3">
      <c r="A453">
        <v>285</v>
      </c>
      <c r="B453">
        <v>1124</v>
      </c>
      <c r="C453">
        <v>2024</v>
      </c>
      <c r="D453">
        <v>3</v>
      </c>
      <c r="E453">
        <v>5</v>
      </c>
      <c r="F453">
        <v>13</v>
      </c>
      <c r="G453">
        <v>8</v>
      </c>
      <c r="H453">
        <v>9</v>
      </c>
      <c r="I453">
        <v>3.3</v>
      </c>
    </row>
    <row r="454" spans="1:9" x14ac:dyDescent="0.3">
      <c r="A454">
        <v>288</v>
      </c>
      <c r="B454">
        <v>1126</v>
      </c>
      <c r="C454">
        <v>2024</v>
      </c>
      <c r="D454">
        <v>4</v>
      </c>
      <c r="E454">
        <v>1</v>
      </c>
      <c r="F454">
        <v>6</v>
      </c>
      <c r="G454">
        <v>19</v>
      </c>
      <c r="H454">
        <v>8</v>
      </c>
      <c r="I454">
        <v>6.9</v>
      </c>
    </row>
    <row r="455" spans="1:9" x14ac:dyDescent="0.3">
      <c r="A455">
        <v>291</v>
      </c>
      <c r="B455">
        <v>1127</v>
      </c>
      <c r="C455">
        <v>2024</v>
      </c>
      <c r="D455">
        <v>4</v>
      </c>
      <c r="E455">
        <v>8</v>
      </c>
      <c r="F455">
        <v>0</v>
      </c>
      <c r="G455">
        <v>47</v>
      </c>
      <c r="H455">
        <v>7</v>
      </c>
      <c r="I455">
        <v>8.6</v>
      </c>
    </row>
    <row r="456" spans="1:9" x14ac:dyDescent="0.3">
      <c r="A456">
        <v>295</v>
      </c>
      <c r="B456">
        <v>1129</v>
      </c>
      <c r="C456">
        <v>2024</v>
      </c>
      <c r="D456">
        <v>3</v>
      </c>
      <c r="E456">
        <v>4</v>
      </c>
      <c r="F456">
        <v>11</v>
      </c>
      <c r="G456">
        <v>34</v>
      </c>
      <c r="H456">
        <v>3</v>
      </c>
      <c r="I456">
        <v>3.6</v>
      </c>
    </row>
    <row r="457" spans="1:9" x14ac:dyDescent="0.3">
      <c r="A457">
        <v>299</v>
      </c>
      <c r="B457">
        <v>1131</v>
      </c>
      <c r="C457">
        <v>2024</v>
      </c>
      <c r="D457">
        <v>5</v>
      </c>
      <c r="E457">
        <v>6</v>
      </c>
      <c r="F457">
        <v>8</v>
      </c>
      <c r="G457">
        <v>12</v>
      </c>
      <c r="H457">
        <v>3</v>
      </c>
      <c r="I457">
        <v>12.2</v>
      </c>
    </row>
    <row r="458" spans="1:9" x14ac:dyDescent="0.3">
      <c r="A458">
        <v>302</v>
      </c>
      <c r="B458">
        <v>1133</v>
      </c>
      <c r="C458">
        <v>2024</v>
      </c>
      <c r="D458">
        <v>2</v>
      </c>
      <c r="E458">
        <v>6</v>
      </c>
      <c r="F458">
        <v>9</v>
      </c>
      <c r="G458">
        <v>17</v>
      </c>
      <c r="H458">
        <v>6</v>
      </c>
      <c r="I458">
        <v>0.2</v>
      </c>
    </row>
    <row r="459" spans="1:9" x14ac:dyDescent="0.3">
      <c r="A459">
        <v>305</v>
      </c>
      <c r="B459">
        <v>1134</v>
      </c>
      <c r="C459">
        <v>2024</v>
      </c>
      <c r="D459">
        <v>2</v>
      </c>
      <c r="E459">
        <v>4</v>
      </c>
      <c r="F459">
        <v>12</v>
      </c>
      <c r="G459">
        <v>22</v>
      </c>
      <c r="H459">
        <v>14</v>
      </c>
      <c r="I459">
        <v>1.7</v>
      </c>
    </row>
    <row r="460" spans="1:9" x14ac:dyDescent="0.3">
      <c r="A460">
        <v>308</v>
      </c>
      <c r="B460">
        <v>1135</v>
      </c>
      <c r="C460">
        <v>2024</v>
      </c>
      <c r="D460">
        <v>3</v>
      </c>
      <c r="E460">
        <v>5</v>
      </c>
      <c r="F460">
        <v>4</v>
      </c>
      <c r="G460">
        <v>18</v>
      </c>
      <c r="H460">
        <v>6</v>
      </c>
      <c r="I460">
        <v>4.9000000000000004</v>
      </c>
    </row>
    <row r="461" spans="1:9" x14ac:dyDescent="0.3">
      <c r="A461">
        <v>311</v>
      </c>
      <c r="B461">
        <v>1136</v>
      </c>
      <c r="C461">
        <v>2024</v>
      </c>
      <c r="D461">
        <v>1</v>
      </c>
      <c r="E461">
        <v>6</v>
      </c>
      <c r="F461">
        <v>0</v>
      </c>
      <c r="G461">
        <v>25</v>
      </c>
      <c r="H461">
        <v>3</v>
      </c>
      <c r="I461">
        <v>0</v>
      </c>
    </row>
    <row r="462" spans="1:9" x14ac:dyDescent="0.3">
      <c r="A462">
        <v>315</v>
      </c>
      <c r="B462">
        <v>1138</v>
      </c>
      <c r="C462">
        <v>2024</v>
      </c>
      <c r="D462">
        <v>3</v>
      </c>
      <c r="E462">
        <v>6</v>
      </c>
      <c r="F462">
        <v>8</v>
      </c>
      <c r="G462">
        <v>17</v>
      </c>
      <c r="H462">
        <v>5</v>
      </c>
      <c r="I462">
        <v>6.2</v>
      </c>
    </row>
    <row r="463" spans="1:9" x14ac:dyDescent="0.3">
      <c r="A463">
        <v>318</v>
      </c>
      <c r="B463">
        <v>1139</v>
      </c>
      <c r="C463">
        <v>2024</v>
      </c>
      <c r="D463">
        <v>3</v>
      </c>
      <c r="E463">
        <v>7</v>
      </c>
      <c r="F463">
        <v>2</v>
      </c>
      <c r="G463">
        <v>18</v>
      </c>
      <c r="H463">
        <v>3</v>
      </c>
      <c r="I463">
        <v>4.0999999999999996</v>
      </c>
    </row>
    <row r="464" spans="1:9" x14ac:dyDescent="0.3">
      <c r="A464">
        <v>322</v>
      </c>
      <c r="B464">
        <v>1142</v>
      </c>
      <c r="C464">
        <v>2024</v>
      </c>
      <c r="D464">
        <v>5</v>
      </c>
      <c r="E464">
        <v>8</v>
      </c>
      <c r="F464">
        <v>0</v>
      </c>
      <c r="G464">
        <v>31</v>
      </c>
      <c r="H464">
        <v>8</v>
      </c>
      <c r="I464">
        <v>12.4</v>
      </c>
    </row>
    <row r="465" spans="1:9" x14ac:dyDescent="0.3">
      <c r="A465">
        <v>325</v>
      </c>
      <c r="B465">
        <v>1143</v>
      </c>
      <c r="C465">
        <v>2024</v>
      </c>
      <c r="D465">
        <v>4</v>
      </c>
      <c r="E465">
        <v>6</v>
      </c>
      <c r="F465">
        <v>2</v>
      </c>
      <c r="G465">
        <v>14</v>
      </c>
      <c r="H465">
        <v>2</v>
      </c>
      <c r="I465">
        <v>9.4</v>
      </c>
    </row>
    <row r="466" spans="1:9" x14ac:dyDescent="0.3">
      <c r="A466">
        <v>328</v>
      </c>
      <c r="B466">
        <v>1144</v>
      </c>
      <c r="C466">
        <v>2024</v>
      </c>
      <c r="D466">
        <v>4</v>
      </c>
      <c r="E466">
        <v>8</v>
      </c>
      <c r="F466">
        <v>3</v>
      </c>
      <c r="G466">
        <v>14</v>
      </c>
      <c r="H466">
        <v>5</v>
      </c>
      <c r="I466">
        <v>7.7</v>
      </c>
    </row>
    <row r="467" spans="1:9" x14ac:dyDescent="0.3">
      <c r="A467">
        <v>331</v>
      </c>
      <c r="B467">
        <v>1145</v>
      </c>
      <c r="C467">
        <v>2024</v>
      </c>
      <c r="D467">
        <v>5</v>
      </c>
      <c r="E467">
        <v>10</v>
      </c>
      <c r="F467">
        <v>19</v>
      </c>
      <c r="G467">
        <v>18</v>
      </c>
      <c r="H467">
        <v>4</v>
      </c>
      <c r="I467">
        <v>13.2</v>
      </c>
    </row>
    <row r="468" spans="1:9" x14ac:dyDescent="0.3">
      <c r="A468">
        <v>334</v>
      </c>
      <c r="B468">
        <v>1146</v>
      </c>
      <c r="C468">
        <v>2024</v>
      </c>
      <c r="D468">
        <v>4</v>
      </c>
      <c r="E468">
        <v>8</v>
      </c>
      <c r="F468">
        <v>1</v>
      </c>
      <c r="G468">
        <v>53</v>
      </c>
      <c r="H468">
        <v>5</v>
      </c>
      <c r="I468">
        <v>7</v>
      </c>
    </row>
    <row r="469" spans="1:9" x14ac:dyDescent="0.3">
      <c r="A469">
        <v>337</v>
      </c>
      <c r="B469">
        <v>1147</v>
      </c>
      <c r="C469">
        <v>2024</v>
      </c>
      <c r="D469">
        <v>4</v>
      </c>
      <c r="E469">
        <v>6</v>
      </c>
      <c r="F469">
        <v>17</v>
      </c>
      <c r="G469">
        <v>33</v>
      </c>
      <c r="H469">
        <v>11</v>
      </c>
      <c r="I469">
        <v>9</v>
      </c>
    </row>
    <row r="470" spans="1:9" x14ac:dyDescent="0.3">
      <c r="A470">
        <v>340</v>
      </c>
      <c r="B470">
        <v>1148</v>
      </c>
      <c r="C470">
        <v>2024</v>
      </c>
      <c r="D470">
        <v>3</v>
      </c>
      <c r="E470">
        <v>5</v>
      </c>
      <c r="F470">
        <v>5</v>
      </c>
      <c r="G470">
        <v>24</v>
      </c>
      <c r="H470">
        <v>8</v>
      </c>
      <c r="I470">
        <v>2.8</v>
      </c>
    </row>
    <row r="471" spans="1:9" x14ac:dyDescent="0.3">
      <c r="A471">
        <v>344</v>
      </c>
      <c r="B471">
        <v>1150</v>
      </c>
      <c r="C471">
        <v>2024</v>
      </c>
      <c r="D471">
        <v>2</v>
      </c>
      <c r="E471">
        <v>7</v>
      </c>
      <c r="F471">
        <v>0</v>
      </c>
      <c r="G471">
        <v>33</v>
      </c>
      <c r="H471">
        <v>1</v>
      </c>
      <c r="I471">
        <v>0.9</v>
      </c>
    </row>
    <row r="472" spans="1:9" x14ac:dyDescent="0.3">
      <c r="A472">
        <v>347</v>
      </c>
      <c r="B472">
        <v>1151</v>
      </c>
      <c r="C472">
        <v>2024</v>
      </c>
      <c r="D472">
        <v>3</v>
      </c>
      <c r="E472">
        <v>8</v>
      </c>
      <c r="F472">
        <v>22</v>
      </c>
      <c r="G472">
        <v>19</v>
      </c>
      <c r="H472">
        <v>4</v>
      </c>
      <c r="I472">
        <v>4.5999999999999996</v>
      </c>
    </row>
    <row r="473" spans="1:9" x14ac:dyDescent="0.3">
      <c r="A473">
        <v>350</v>
      </c>
      <c r="B473">
        <v>1154</v>
      </c>
      <c r="C473">
        <v>2024</v>
      </c>
      <c r="D473">
        <v>3</v>
      </c>
      <c r="E473">
        <v>7</v>
      </c>
      <c r="F473">
        <v>5</v>
      </c>
      <c r="G473">
        <v>28</v>
      </c>
      <c r="H473">
        <v>4</v>
      </c>
      <c r="I473">
        <v>5.6</v>
      </c>
    </row>
    <row r="474" spans="1:9" x14ac:dyDescent="0.3">
      <c r="A474">
        <v>353</v>
      </c>
      <c r="B474">
        <v>1155</v>
      </c>
      <c r="C474">
        <v>2024</v>
      </c>
      <c r="D474">
        <v>4</v>
      </c>
      <c r="E474">
        <v>8</v>
      </c>
      <c r="F474">
        <v>16</v>
      </c>
      <c r="G474">
        <v>43</v>
      </c>
      <c r="H474">
        <v>4</v>
      </c>
      <c r="I474">
        <v>8.9</v>
      </c>
    </row>
    <row r="475" spans="1:9" x14ac:dyDescent="0.3">
      <c r="A475">
        <v>356</v>
      </c>
      <c r="B475">
        <v>1156</v>
      </c>
      <c r="C475">
        <v>2024</v>
      </c>
      <c r="D475">
        <v>2</v>
      </c>
      <c r="E475">
        <v>8</v>
      </c>
      <c r="F475">
        <v>16</v>
      </c>
      <c r="G475">
        <v>19</v>
      </c>
      <c r="H475">
        <v>6</v>
      </c>
      <c r="I475">
        <v>2.2000000000000002</v>
      </c>
    </row>
    <row r="476" spans="1:9" x14ac:dyDescent="0.3">
      <c r="A476">
        <v>359</v>
      </c>
      <c r="B476">
        <v>1157</v>
      </c>
      <c r="C476">
        <v>2024</v>
      </c>
      <c r="D476">
        <v>3</v>
      </c>
      <c r="E476">
        <v>8</v>
      </c>
      <c r="F476">
        <v>6</v>
      </c>
      <c r="G476">
        <v>23</v>
      </c>
      <c r="H476">
        <v>1</v>
      </c>
      <c r="I476">
        <v>3.7</v>
      </c>
    </row>
    <row r="477" spans="1:9" x14ac:dyDescent="0.3">
      <c r="A477">
        <v>362</v>
      </c>
      <c r="B477">
        <v>1158</v>
      </c>
      <c r="C477">
        <v>2024</v>
      </c>
      <c r="E477">
        <v>3</v>
      </c>
      <c r="F477">
        <v>14</v>
      </c>
      <c r="G477">
        <v>0</v>
      </c>
      <c r="H477">
        <v>8</v>
      </c>
      <c r="I477">
        <v>5.5</v>
      </c>
    </row>
    <row r="478" spans="1:9" x14ac:dyDescent="0.3">
      <c r="A478">
        <v>365</v>
      </c>
      <c r="B478">
        <v>1160</v>
      </c>
      <c r="C478">
        <v>2024</v>
      </c>
      <c r="D478">
        <v>3</v>
      </c>
      <c r="E478">
        <v>5</v>
      </c>
      <c r="F478">
        <v>0</v>
      </c>
      <c r="G478">
        <v>25</v>
      </c>
      <c r="H478">
        <v>13</v>
      </c>
      <c r="I478">
        <v>6.2</v>
      </c>
    </row>
    <row r="479" spans="1:9" x14ac:dyDescent="0.3">
      <c r="A479">
        <v>368</v>
      </c>
      <c r="B479">
        <v>1161</v>
      </c>
      <c r="C479">
        <v>2024</v>
      </c>
      <c r="D479">
        <v>2</v>
      </c>
      <c r="E479">
        <v>7</v>
      </c>
      <c r="F479">
        <v>4</v>
      </c>
      <c r="G479">
        <v>8</v>
      </c>
      <c r="H479">
        <v>5</v>
      </c>
      <c r="I479">
        <v>0.6</v>
      </c>
    </row>
    <row r="480" spans="1:9" x14ac:dyDescent="0.3">
      <c r="A480">
        <v>371</v>
      </c>
      <c r="B480">
        <v>1163</v>
      </c>
      <c r="C480">
        <v>2024</v>
      </c>
      <c r="D480">
        <v>4</v>
      </c>
      <c r="E480">
        <v>7</v>
      </c>
      <c r="F480">
        <v>0</v>
      </c>
      <c r="G480">
        <v>31</v>
      </c>
      <c r="H480">
        <v>2</v>
      </c>
      <c r="I480">
        <v>6.1</v>
      </c>
    </row>
    <row r="481" spans="1:9" x14ac:dyDescent="0.3">
      <c r="A481">
        <v>373</v>
      </c>
      <c r="B481">
        <v>1165</v>
      </c>
      <c r="C481">
        <v>2024</v>
      </c>
      <c r="D481">
        <v>4</v>
      </c>
      <c r="E481">
        <v>4</v>
      </c>
      <c r="F481">
        <v>9</v>
      </c>
      <c r="G481">
        <v>27</v>
      </c>
      <c r="H481">
        <v>15</v>
      </c>
      <c r="I481">
        <v>8.8000000000000007</v>
      </c>
    </row>
    <row r="482" spans="1:9" x14ac:dyDescent="0.3">
      <c r="A482">
        <v>376</v>
      </c>
      <c r="B482">
        <v>1166</v>
      </c>
      <c r="C482">
        <v>2024</v>
      </c>
      <c r="D482">
        <v>2</v>
      </c>
      <c r="E482">
        <v>6</v>
      </c>
      <c r="F482">
        <v>12</v>
      </c>
      <c r="G482">
        <v>22</v>
      </c>
      <c r="H482">
        <v>5</v>
      </c>
      <c r="I482">
        <v>0.9</v>
      </c>
    </row>
    <row r="483" spans="1:9" x14ac:dyDescent="0.3">
      <c r="A483">
        <v>380</v>
      </c>
      <c r="B483">
        <v>1169</v>
      </c>
      <c r="C483">
        <v>2024</v>
      </c>
      <c r="D483">
        <v>4</v>
      </c>
      <c r="E483">
        <v>6</v>
      </c>
      <c r="F483">
        <v>15</v>
      </c>
      <c r="G483">
        <v>48</v>
      </c>
      <c r="H483">
        <v>2</v>
      </c>
      <c r="I483">
        <v>6.1</v>
      </c>
    </row>
    <row r="484" spans="1:9" x14ac:dyDescent="0.3">
      <c r="A484">
        <v>384</v>
      </c>
      <c r="B484">
        <v>1171</v>
      </c>
      <c r="C484">
        <v>2024</v>
      </c>
      <c r="D484">
        <v>35</v>
      </c>
      <c r="E484">
        <v>5</v>
      </c>
      <c r="F484">
        <v>2</v>
      </c>
      <c r="G484">
        <v>11</v>
      </c>
      <c r="H484">
        <v>5</v>
      </c>
      <c r="I484">
        <v>2.8</v>
      </c>
    </row>
    <row r="485" spans="1:9" x14ac:dyDescent="0.3">
      <c r="A485">
        <v>387</v>
      </c>
      <c r="B485">
        <v>1172</v>
      </c>
      <c r="C485">
        <v>2024</v>
      </c>
      <c r="E485">
        <v>5</v>
      </c>
      <c r="F485">
        <v>8</v>
      </c>
      <c r="G485">
        <v>22</v>
      </c>
      <c r="H485">
        <v>3</v>
      </c>
      <c r="I485">
        <v>10.5</v>
      </c>
    </row>
    <row r="486" spans="1:9" x14ac:dyDescent="0.3">
      <c r="A486">
        <v>390</v>
      </c>
      <c r="B486">
        <v>1173</v>
      </c>
      <c r="C486">
        <v>2024</v>
      </c>
      <c r="D486">
        <v>5</v>
      </c>
      <c r="E486">
        <v>7</v>
      </c>
      <c r="F486">
        <v>0</v>
      </c>
      <c r="G486">
        <v>36</v>
      </c>
      <c r="H486">
        <v>4</v>
      </c>
      <c r="I486">
        <v>11.2</v>
      </c>
    </row>
    <row r="487" spans="1:9" x14ac:dyDescent="0.3">
      <c r="A487">
        <v>393</v>
      </c>
      <c r="B487">
        <v>1174</v>
      </c>
      <c r="C487">
        <v>2024</v>
      </c>
      <c r="D487">
        <v>3</v>
      </c>
      <c r="E487">
        <v>7</v>
      </c>
      <c r="F487">
        <v>15</v>
      </c>
      <c r="G487">
        <v>33</v>
      </c>
      <c r="H487">
        <v>7</v>
      </c>
      <c r="I487">
        <v>6.3</v>
      </c>
    </row>
    <row r="488" spans="1:9" x14ac:dyDescent="0.3">
      <c r="A488">
        <v>396</v>
      </c>
      <c r="B488">
        <v>1175</v>
      </c>
      <c r="C488">
        <v>2024</v>
      </c>
      <c r="D488">
        <v>5</v>
      </c>
      <c r="E488">
        <v>9</v>
      </c>
      <c r="F488">
        <v>8</v>
      </c>
      <c r="G488">
        <v>10</v>
      </c>
      <c r="H488">
        <v>3</v>
      </c>
      <c r="I488">
        <v>13.8</v>
      </c>
    </row>
    <row r="489" spans="1:9" x14ac:dyDescent="0.3">
      <c r="A489">
        <v>399</v>
      </c>
      <c r="B489">
        <v>1176</v>
      </c>
      <c r="C489">
        <v>2024</v>
      </c>
      <c r="D489">
        <v>3</v>
      </c>
      <c r="E489">
        <v>6</v>
      </c>
      <c r="F489">
        <v>0</v>
      </c>
      <c r="G489">
        <v>24</v>
      </c>
      <c r="H489">
        <v>1</v>
      </c>
      <c r="I489">
        <v>5.4</v>
      </c>
    </row>
    <row r="490" spans="1:9" x14ac:dyDescent="0.3">
      <c r="A490">
        <v>402</v>
      </c>
      <c r="B490">
        <v>1177</v>
      </c>
      <c r="C490">
        <v>2024</v>
      </c>
      <c r="D490">
        <v>4</v>
      </c>
      <c r="E490">
        <v>7</v>
      </c>
      <c r="F490">
        <v>4</v>
      </c>
      <c r="G490">
        <v>11</v>
      </c>
      <c r="H490">
        <v>2</v>
      </c>
      <c r="I490">
        <v>7.8</v>
      </c>
    </row>
    <row r="491" spans="1:9" x14ac:dyDescent="0.3">
      <c r="A491">
        <v>405</v>
      </c>
      <c r="B491">
        <v>1178</v>
      </c>
      <c r="C491">
        <v>2024</v>
      </c>
      <c r="D491">
        <v>2</v>
      </c>
      <c r="E491">
        <v>8</v>
      </c>
      <c r="F491">
        <v>3</v>
      </c>
      <c r="G491">
        <v>33</v>
      </c>
      <c r="H491">
        <v>2</v>
      </c>
      <c r="I491">
        <v>1</v>
      </c>
    </row>
    <row r="492" spans="1:9" x14ac:dyDescent="0.3">
      <c r="A492">
        <v>408</v>
      </c>
      <c r="B492">
        <v>1179</v>
      </c>
      <c r="C492">
        <v>2024</v>
      </c>
      <c r="D492">
        <v>3</v>
      </c>
      <c r="E492">
        <v>10</v>
      </c>
      <c r="F492">
        <v>1</v>
      </c>
      <c r="G492">
        <v>15</v>
      </c>
      <c r="H492">
        <v>5</v>
      </c>
      <c r="I492">
        <v>5.6</v>
      </c>
    </row>
    <row r="493" spans="1:9" x14ac:dyDescent="0.3">
      <c r="A493">
        <v>411</v>
      </c>
      <c r="B493">
        <v>1180</v>
      </c>
      <c r="C493">
        <v>2024</v>
      </c>
      <c r="D493">
        <v>4</v>
      </c>
      <c r="E493">
        <v>6</v>
      </c>
      <c r="F493">
        <v>3</v>
      </c>
      <c r="G493">
        <v>46</v>
      </c>
      <c r="H493">
        <v>5</v>
      </c>
      <c r="I493">
        <v>8.6</v>
      </c>
    </row>
    <row r="494" spans="1:9" x14ac:dyDescent="0.3">
      <c r="A494">
        <v>414</v>
      </c>
      <c r="B494">
        <v>1181</v>
      </c>
      <c r="C494">
        <v>2024</v>
      </c>
      <c r="D494">
        <v>4</v>
      </c>
      <c r="E494">
        <v>8</v>
      </c>
      <c r="F494">
        <v>9</v>
      </c>
      <c r="G494">
        <v>16</v>
      </c>
      <c r="H494">
        <v>5</v>
      </c>
      <c r="I494">
        <v>9.5</v>
      </c>
    </row>
    <row r="495" spans="1:9" x14ac:dyDescent="0.3">
      <c r="A495">
        <v>417</v>
      </c>
      <c r="B495">
        <v>1182</v>
      </c>
      <c r="C495">
        <v>2024</v>
      </c>
      <c r="D495">
        <v>3</v>
      </c>
      <c r="E495">
        <v>6</v>
      </c>
      <c r="F495">
        <v>12</v>
      </c>
      <c r="G495">
        <v>28</v>
      </c>
      <c r="H495">
        <v>1</v>
      </c>
      <c r="I495">
        <v>5.9</v>
      </c>
    </row>
    <row r="496" spans="1:9" x14ac:dyDescent="0.3">
      <c r="A496">
        <v>420</v>
      </c>
      <c r="B496">
        <v>1183</v>
      </c>
      <c r="C496">
        <v>2024</v>
      </c>
      <c r="D496">
        <v>3</v>
      </c>
      <c r="E496">
        <v>9</v>
      </c>
      <c r="F496">
        <v>0</v>
      </c>
      <c r="G496">
        <v>27</v>
      </c>
      <c r="H496">
        <v>4</v>
      </c>
      <c r="I496">
        <v>4.4000000000000004</v>
      </c>
    </row>
    <row r="497" spans="1:9" x14ac:dyDescent="0.3">
      <c r="A497">
        <v>422</v>
      </c>
      <c r="B497">
        <v>1184</v>
      </c>
      <c r="C497">
        <v>2024</v>
      </c>
      <c r="D497">
        <v>4</v>
      </c>
      <c r="E497">
        <v>6</v>
      </c>
      <c r="F497">
        <v>12</v>
      </c>
      <c r="G497">
        <v>46</v>
      </c>
      <c r="H497">
        <v>4</v>
      </c>
      <c r="I497">
        <v>8.6999999999999993</v>
      </c>
    </row>
    <row r="498" spans="1:9" x14ac:dyDescent="0.3">
      <c r="A498">
        <v>425</v>
      </c>
      <c r="B498">
        <v>1185</v>
      </c>
      <c r="C498">
        <v>2024</v>
      </c>
      <c r="D498">
        <v>3</v>
      </c>
      <c r="E498">
        <v>6</v>
      </c>
      <c r="F498">
        <v>2</v>
      </c>
      <c r="G498">
        <v>35</v>
      </c>
      <c r="H498">
        <v>5</v>
      </c>
      <c r="I498">
        <v>3.3</v>
      </c>
    </row>
    <row r="499" spans="1:9" x14ac:dyDescent="0.3">
      <c r="A499">
        <v>428</v>
      </c>
      <c r="B499">
        <v>1187</v>
      </c>
      <c r="C499">
        <v>2024</v>
      </c>
      <c r="D499">
        <v>5</v>
      </c>
      <c r="E499">
        <v>8</v>
      </c>
      <c r="F499">
        <v>8</v>
      </c>
      <c r="G499">
        <v>27</v>
      </c>
      <c r="H499">
        <v>0</v>
      </c>
      <c r="I499">
        <v>11.9</v>
      </c>
    </row>
    <row r="500" spans="1:9" x14ac:dyDescent="0.3">
      <c r="A500">
        <v>432</v>
      </c>
      <c r="B500">
        <v>1189</v>
      </c>
      <c r="C500">
        <v>2024</v>
      </c>
      <c r="D500">
        <v>4</v>
      </c>
      <c r="E500">
        <v>9</v>
      </c>
      <c r="F500">
        <v>0</v>
      </c>
      <c r="G500">
        <v>26</v>
      </c>
      <c r="H500">
        <v>1</v>
      </c>
      <c r="I500">
        <v>8.9</v>
      </c>
    </row>
    <row r="501" spans="1:9" x14ac:dyDescent="0.3">
      <c r="A501">
        <v>434</v>
      </c>
      <c r="B501">
        <v>1191</v>
      </c>
      <c r="C501">
        <v>2024</v>
      </c>
      <c r="D501">
        <v>4</v>
      </c>
      <c r="E501">
        <v>9</v>
      </c>
      <c r="F501">
        <v>4</v>
      </c>
      <c r="G501">
        <v>27</v>
      </c>
      <c r="H501">
        <v>3</v>
      </c>
      <c r="I501">
        <v>7.8</v>
      </c>
    </row>
    <row r="502" spans="1:9" x14ac:dyDescent="0.3">
      <c r="A502">
        <v>437</v>
      </c>
      <c r="B502">
        <v>1192</v>
      </c>
      <c r="C502">
        <v>2024</v>
      </c>
      <c r="D502">
        <v>3</v>
      </c>
      <c r="E502">
        <v>4</v>
      </c>
      <c r="F502">
        <v>11</v>
      </c>
      <c r="G502">
        <v>2</v>
      </c>
      <c r="H502">
        <v>7</v>
      </c>
      <c r="I502">
        <v>6.9</v>
      </c>
    </row>
    <row r="503" spans="1:9" x14ac:dyDescent="0.3">
      <c r="A503">
        <v>440</v>
      </c>
      <c r="B503">
        <v>1193</v>
      </c>
      <c r="C503">
        <v>2024</v>
      </c>
      <c r="D503">
        <v>4</v>
      </c>
      <c r="E503">
        <v>5</v>
      </c>
      <c r="F503">
        <v>28</v>
      </c>
      <c r="G503">
        <v>35</v>
      </c>
      <c r="H503">
        <v>1</v>
      </c>
      <c r="I503">
        <v>7.6</v>
      </c>
    </row>
    <row r="504" spans="1:9" x14ac:dyDescent="0.3">
      <c r="A504">
        <v>443</v>
      </c>
      <c r="B504">
        <v>1194</v>
      </c>
      <c r="C504">
        <v>2024</v>
      </c>
      <c r="D504">
        <v>3</v>
      </c>
      <c r="E504">
        <v>5</v>
      </c>
      <c r="F504">
        <v>15</v>
      </c>
      <c r="G504">
        <v>34</v>
      </c>
      <c r="H504">
        <v>5</v>
      </c>
      <c r="I504">
        <v>4.7</v>
      </c>
    </row>
    <row r="505" spans="1:9" x14ac:dyDescent="0.3">
      <c r="A505">
        <v>446</v>
      </c>
      <c r="B505">
        <v>1195</v>
      </c>
      <c r="C505">
        <v>2024</v>
      </c>
      <c r="D505">
        <v>2</v>
      </c>
      <c r="E505">
        <v>8</v>
      </c>
      <c r="F505">
        <v>22</v>
      </c>
      <c r="G505">
        <v>38</v>
      </c>
      <c r="H505">
        <v>6</v>
      </c>
      <c r="I505">
        <v>2.4</v>
      </c>
    </row>
    <row r="506" spans="1:9" x14ac:dyDescent="0.3">
      <c r="A506">
        <v>449</v>
      </c>
      <c r="B506">
        <v>1196</v>
      </c>
      <c r="C506">
        <v>2024</v>
      </c>
      <c r="D506">
        <v>3</v>
      </c>
      <c r="E506">
        <v>6</v>
      </c>
      <c r="F506">
        <v>3</v>
      </c>
      <c r="G506">
        <v>35</v>
      </c>
      <c r="H506">
        <v>1</v>
      </c>
      <c r="I506">
        <v>5</v>
      </c>
    </row>
    <row r="507" spans="1:9" x14ac:dyDescent="0.3">
      <c r="A507">
        <v>451</v>
      </c>
      <c r="B507">
        <v>1197</v>
      </c>
      <c r="C507">
        <v>2024</v>
      </c>
      <c r="D507">
        <v>4</v>
      </c>
      <c r="E507">
        <v>7</v>
      </c>
      <c r="F507">
        <v>12</v>
      </c>
      <c r="G507">
        <v>12</v>
      </c>
      <c r="H507">
        <v>0</v>
      </c>
      <c r="I507">
        <v>7.9</v>
      </c>
    </row>
    <row r="508" spans="1:9" x14ac:dyDescent="0.3">
      <c r="A508">
        <v>454</v>
      </c>
      <c r="B508">
        <v>1198</v>
      </c>
      <c r="C508">
        <v>2024</v>
      </c>
      <c r="D508">
        <v>3</v>
      </c>
      <c r="E508">
        <v>4</v>
      </c>
      <c r="F508">
        <v>4</v>
      </c>
      <c r="G508">
        <v>26</v>
      </c>
      <c r="H508">
        <v>9</v>
      </c>
      <c r="I508">
        <v>5.9</v>
      </c>
    </row>
    <row r="509" spans="1:9" x14ac:dyDescent="0.3">
      <c r="A509">
        <v>457</v>
      </c>
      <c r="B509">
        <v>1199</v>
      </c>
      <c r="C509">
        <v>2024</v>
      </c>
      <c r="D509">
        <v>4</v>
      </c>
      <c r="E509">
        <v>5</v>
      </c>
      <c r="F509">
        <v>11</v>
      </c>
      <c r="G509">
        <v>0</v>
      </c>
      <c r="H509">
        <v>3</v>
      </c>
      <c r="I509">
        <v>8.8000000000000007</v>
      </c>
    </row>
    <row r="510" spans="1:9" x14ac:dyDescent="0.3">
      <c r="A510">
        <v>460</v>
      </c>
      <c r="B510">
        <v>1200</v>
      </c>
      <c r="C510">
        <v>2024</v>
      </c>
      <c r="D510">
        <v>3</v>
      </c>
      <c r="E510">
        <v>9</v>
      </c>
      <c r="F510">
        <v>0</v>
      </c>
      <c r="G510">
        <v>9</v>
      </c>
      <c r="H510">
        <v>4</v>
      </c>
      <c r="I510">
        <v>4.3</v>
      </c>
    </row>
    <row r="511" spans="1:9" x14ac:dyDescent="0.3">
      <c r="A511">
        <v>463</v>
      </c>
      <c r="B511">
        <v>1201</v>
      </c>
      <c r="C511">
        <v>2024</v>
      </c>
      <c r="D511">
        <v>3</v>
      </c>
      <c r="E511">
        <v>10</v>
      </c>
      <c r="F511">
        <v>0</v>
      </c>
      <c r="G511">
        <v>32</v>
      </c>
      <c r="H511">
        <v>2</v>
      </c>
      <c r="I511">
        <v>5.9</v>
      </c>
    </row>
    <row r="512" spans="1:9" x14ac:dyDescent="0.3">
      <c r="A512">
        <v>466</v>
      </c>
      <c r="B512">
        <v>1202</v>
      </c>
      <c r="C512">
        <v>2024</v>
      </c>
      <c r="D512">
        <v>2</v>
      </c>
      <c r="E512">
        <v>6</v>
      </c>
      <c r="F512">
        <v>9</v>
      </c>
      <c r="G512">
        <v>25</v>
      </c>
      <c r="H512">
        <v>8</v>
      </c>
      <c r="I512">
        <v>2.5</v>
      </c>
    </row>
    <row r="513" spans="1:9" x14ac:dyDescent="0.3">
      <c r="A513">
        <v>469</v>
      </c>
      <c r="B513">
        <v>1203</v>
      </c>
      <c r="C513">
        <v>2024</v>
      </c>
      <c r="D513">
        <v>3</v>
      </c>
      <c r="E513">
        <v>6</v>
      </c>
      <c r="F513">
        <v>10</v>
      </c>
      <c r="G513">
        <v>12</v>
      </c>
      <c r="H513">
        <v>6</v>
      </c>
      <c r="I513">
        <v>2.8</v>
      </c>
    </row>
    <row r="514" spans="1:9" x14ac:dyDescent="0.3">
      <c r="A514">
        <v>471</v>
      </c>
      <c r="B514">
        <v>1205</v>
      </c>
      <c r="C514">
        <v>2024</v>
      </c>
      <c r="D514">
        <v>3</v>
      </c>
      <c r="E514">
        <v>6</v>
      </c>
      <c r="F514">
        <v>14</v>
      </c>
      <c r="G514">
        <v>18</v>
      </c>
      <c r="H514">
        <v>0</v>
      </c>
      <c r="I514">
        <v>3.2</v>
      </c>
    </row>
    <row r="515" spans="1:9" x14ac:dyDescent="0.3">
      <c r="A515">
        <v>475</v>
      </c>
      <c r="B515">
        <v>1207</v>
      </c>
      <c r="C515">
        <v>2024</v>
      </c>
      <c r="D515">
        <v>3</v>
      </c>
      <c r="E515">
        <v>7</v>
      </c>
      <c r="F515">
        <v>11</v>
      </c>
      <c r="G515">
        <v>30</v>
      </c>
      <c r="H515">
        <v>6</v>
      </c>
      <c r="I515">
        <v>5.8</v>
      </c>
    </row>
    <row r="516" spans="1:9" x14ac:dyDescent="0.3">
      <c r="A516">
        <v>478</v>
      </c>
      <c r="B516">
        <v>1208</v>
      </c>
      <c r="C516">
        <v>2024</v>
      </c>
      <c r="D516">
        <v>4</v>
      </c>
      <c r="E516">
        <v>6</v>
      </c>
      <c r="F516">
        <v>7</v>
      </c>
      <c r="G516">
        <v>28</v>
      </c>
      <c r="H516">
        <v>4</v>
      </c>
      <c r="I516">
        <v>8.1999999999999993</v>
      </c>
    </row>
    <row r="517" spans="1:9" x14ac:dyDescent="0.3">
      <c r="A517">
        <v>481</v>
      </c>
      <c r="B517">
        <v>1209</v>
      </c>
      <c r="C517">
        <v>2024</v>
      </c>
      <c r="D517">
        <v>3</v>
      </c>
      <c r="E517">
        <v>4</v>
      </c>
      <c r="F517">
        <v>23</v>
      </c>
      <c r="G517">
        <v>25</v>
      </c>
      <c r="H517">
        <v>5</v>
      </c>
      <c r="I517">
        <v>5</v>
      </c>
    </row>
    <row r="518" spans="1:9" x14ac:dyDescent="0.3">
      <c r="A518">
        <v>483</v>
      </c>
      <c r="B518">
        <v>1210</v>
      </c>
      <c r="C518">
        <v>2024</v>
      </c>
      <c r="D518">
        <v>3</v>
      </c>
      <c r="E518">
        <v>4</v>
      </c>
      <c r="F518">
        <v>1</v>
      </c>
      <c r="G518">
        <v>5</v>
      </c>
      <c r="H518">
        <v>10</v>
      </c>
      <c r="I518">
        <v>5</v>
      </c>
    </row>
    <row r="519" spans="1:9" x14ac:dyDescent="0.3">
      <c r="A519">
        <v>486</v>
      </c>
      <c r="B519">
        <v>1211</v>
      </c>
      <c r="C519">
        <v>2024</v>
      </c>
      <c r="D519">
        <v>5</v>
      </c>
      <c r="E519">
        <v>10</v>
      </c>
      <c r="F519">
        <v>0</v>
      </c>
      <c r="G519">
        <v>24</v>
      </c>
      <c r="H519">
        <v>3</v>
      </c>
      <c r="I519">
        <v>11.1</v>
      </c>
    </row>
    <row r="520" spans="1:9" x14ac:dyDescent="0.3">
      <c r="A520">
        <v>489</v>
      </c>
      <c r="B520">
        <v>1212</v>
      </c>
      <c r="C520">
        <v>2024</v>
      </c>
      <c r="D520">
        <v>3</v>
      </c>
      <c r="E520">
        <v>10</v>
      </c>
      <c r="F520">
        <v>12</v>
      </c>
      <c r="G520">
        <v>22</v>
      </c>
      <c r="H520">
        <v>8</v>
      </c>
      <c r="I520">
        <v>4.9000000000000004</v>
      </c>
    </row>
    <row r="521" spans="1:9" x14ac:dyDescent="0.3">
      <c r="A521">
        <v>493</v>
      </c>
      <c r="B521">
        <v>1214</v>
      </c>
      <c r="C521">
        <v>2024</v>
      </c>
      <c r="D521">
        <v>3</v>
      </c>
      <c r="E521">
        <v>7</v>
      </c>
      <c r="F521">
        <v>4</v>
      </c>
      <c r="G521">
        <v>32</v>
      </c>
      <c r="H521">
        <v>2</v>
      </c>
      <c r="I521">
        <v>6.4</v>
      </c>
    </row>
    <row r="522" spans="1:9" x14ac:dyDescent="0.3">
      <c r="A522">
        <v>496</v>
      </c>
      <c r="B522">
        <v>1215</v>
      </c>
      <c r="C522">
        <v>2024</v>
      </c>
      <c r="D522">
        <v>3</v>
      </c>
      <c r="E522">
        <v>9</v>
      </c>
      <c r="F522">
        <v>0</v>
      </c>
      <c r="G522">
        <v>13</v>
      </c>
      <c r="H522">
        <v>6</v>
      </c>
      <c r="I522">
        <v>6.3</v>
      </c>
    </row>
    <row r="523" spans="1:9" x14ac:dyDescent="0.3">
      <c r="A523">
        <v>499</v>
      </c>
      <c r="B523">
        <v>1216</v>
      </c>
      <c r="C523">
        <v>2024</v>
      </c>
      <c r="D523">
        <v>3</v>
      </c>
      <c r="E523">
        <v>8</v>
      </c>
      <c r="F523">
        <v>0</v>
      </c>
      <c r="G523">
        <v>13</v>
      </c>
      <c r="H523">
        <v>5</v>
      </c>
      <c r="I523">
        <v>4.2</v>
      </c>
    </row>
    <row r="524" spans="1:9" x14ac:dyDescent="0.3">
      <c r="A524">
        <v>502</v>
      </c>
      <c r="B524">
        <v>1217</v>
      </c>
      <c r="C524">
        <v>2024</v>
      </c>
      <c r="D524">
        <v>3</v>
      </c>
      <c r="E524">
        <v>6</v>
      </c>
      <c r="F524">
        <v>14</v>
      </c>
      <c r="G524">
        <v>15</v>
      </c>
      <c r="H524">
        <v>4</v>
      </c>
      <c r="I524">
        <v>2.7</v>
      </c>
    </row>
    <row r="525" spans="1:9" x14ac:dyDescent="0.3">
      <c r="A525">
        <v>505</v>
      </c>
      <c r="B525">
        <v>1218</v>
      </c>
      <c r="C525">
        <v>2024</v>
      </c>
      <c r="D525">
        <v>5</v>
      </c>
      <c r="E525">
        <v>6</v>
      </c>
      <c r="F525">
        <v>6</v>
      </c>
      <c r="G525">
        <v>20</v>
      </c>
      <c r="H525">
        <v>9</v>
      </c>
      <c r="I525">
        <v>13.9</v>
      </c>
    </row>
    <row r="526" spans="1:9" x14ac:dyDescent="0.3">
      <c r="A526">
        <v>508</v>
      </c>
      <c r="B526">
        <v>1221</v>
      </c>
      <c r="C526">
        <v>2024</v>
      </c>
      <c r="D526">
        <v>2</v>
      </c>
      <c r="E526">
        <v>4</v>
      </c>
      <c r="F526">
        <v>4</v>
      </c>
      <c r="G526">
        <v>30</v>
      </c>
      <c r="H526">
        <v>3</v>
      </c>
      <c r="I526">
        <v>0</v>
      </c>
    </row>
    <row r="527" spans="1:9" x14ac:dyDescent="0.3">
      <c r="A527">
        <v>511</v>
      </c>
      <c r="B527">
        <v>1224</v>
      </c>
      <c r="C527">
        <v>2024</v>
      </c>
      <c r="D527">
        <v>4</v>
      </c>
      <c r="E527">
        <v>6</v>
      </c>
      <c r="F527">
        <v>9</v>
      </c>
      <c r="G527">
        <v>39</v>
      </c>
      <c r="H527">
        <v>9</v>
      </c>
      <c r="I527">
        <v>9</v>
      </c>
    </row>
    <row r="528" spans="1:9" x14ac:dyDescent="0.3">
      <c r="A528">
        <v>514</v>
      </c>
      <c r="B528">
        <v>1225</v>
      </c>
      <c r="C528">
        <v>2024</v>
      </c>
      <c r="D528">
        <v>3</v>
      </c>
      <c r="E528">
        <v>7</v>
      </c>
      <c r="F528">
        <v>3</v>
      </c>
      <c r="G528">
        <v>17</v>
      </c>
      <c r="H528">
        <v>3</v>
      </c>
      <c r="I528">
        <v>4.5</v>
      </c>
    </row>
    <row r="529" spans="1:9" x14ac:dyDescent="0.3">
      <c r="A529">
        <v>517</v>
      </c>
      <c r="B529">
        <v>1226</v>
      </c>
      <c r="C529">
        <v>2024</v>
      </c>
      <c r="D529">
        <v>3</v>
      </c>
      <c r="E529">
        <v>7</v>
      </c>
      <c r="F529">
        <v>3</v>
      </c>
      <c r="G529">
        <v>24</v>
      </c>
      <c r="H529">
        <v>7</v>
      </c>
      <c r="I529">
        <v>4.7</v>
      </c>
    </row>
    <row r="530" spans="1:9" x14ac:dyDescent="0.3">
      <c r="A530">
        <v>520</v>
      </c>
      <c r="B530">
        <v>1227</v>
      </c>
      <c r="C530">
        <v>2024</v>
      </c>
      <c r="D530">
        <v>5</v>
      </c>
      <c r="E530">
        <v>5</v>
      </c>
      <c r="F530">
        <v>11</v>
      </c>
      <c r="G530">
        <v>43</v>
      </c>
      <c r="H530">
        <v>8</v>
      </c>
      <c r="I530">
        <v>11.8</v>
      </c>
    </row>
    <row r="531" spans="1:9" x14ac:dyDescent="0.3">
      <c r="A531">
        <v>524</v>
      </c>
      <c r="B531">
        <v>1229</v>
      </c>
      <c r="C531">
        <v>2024</v>
      </c>
      <c r="E531">
        <v>6</v>
      </c>
      <c r="F531">
        <v>10</v>
      </c>
      <c r="G531">
        <v>15</v>
      </c>
      <c r="H531">
        <v>5</v>
      </c>
      <c r="I531">
        <v>11.6</v>
      </c>
    </row>
    <row r="532" spans="1:9" x14ac:dyDescent="0.3">
      <c r="A532">
        <v>527</v>
      </c>
      <c r="B532">
        <v>1230</v>
      </c>
      <c r="C532">
        <v>2024</v>
      </c>
      <c r="D532">
        <v>4</v>
      </c>
      <c r="E532">
        <v>5</v>
      </c>
      <c r="F532">
        <v>24</v>
      </c>
      <c r="G532">
        <v>28</v>
      </c>
      <c r="H532">
        <v>7</v>
      </c>
      <c r="I532">
        <v>7.8</v>
      </c>
    </row>
    <row r="533" spans="1:9" x14ac:dyDescent="0.3">
      <c r="A533">
        <v>530</v>
      </c>
      <c r="B533">
        <v>1231</v>
      </c>
      <c r="C533">
        <v>2024</v>
      </c>
      <c r="D533">
        <v>4</v>
      </c>
      <c r="E533">
        <v>5</v>
      </c>
      <c r="F533">
        <v>2</v>
      </c>
      <c r="G533">
        <v>22</v>
      </c>
      <c r="H533">
        <v>4</v>
      </c>
      <c r="I533">
        <v>6.5</v>
      </c>
    </row>
    <row r="534" spans="1:9" x14ac:dyDescent="0.3">
      <c r="A534">
        <v>534</v>
      </c>
      <c r="B534">
        <v>1233</v>
      </c>
      <c r="C534">
        <v>2024</v>
      </c>
      <c r="D534">
        <v>4</v>
      </c>
      <c r="E534">
        <v>6</v>
      </c>
      <c r="F534">
        <v>4</v>
      </c>
      <c r="G534">
        <v>19</v>
      </c>
      <c r="H534">
        <v>7</v>
      </c>
      <c r="I534">
        <v>8.5</v>
      </c>
    </row>
    <row r="535" spans="1:9" x14ac:dyDescent="0.3">
      <c r="A535">
        <v>538</v>
      </c>
      <c r="B535">
        <v>1235</v>
      </c>
      <c r="C535">
        <v>2024</v>
      </c>
      <c r="D535">
        <v>4</v>
      </c>
      <c r="E535">
        <v>4</v>
      </c>
      <c r="F535">
        <v>16</v>
      </c>
      <c r="G535">
        <v>21</v>
      </c>
      <c r="H535">
        <v>10</v>
      </c>
      <c r="I535">
        <v>9</v>
      </c>
    </row>
    <row r="536" spans="1:9" x14ac:dyDescent="0.3">
      <c r="A536">
        <v>541</v>
      </c>
      <c r="B536">
        <v>1236</v>
      </c>
      <c r="C536">
        <v>2024</v>
      </c>
      <c r="D536">
        <v>2</v>
      </c>
      <c r="E536">
        <v>6</v>
      </c>
      <c r="F536">
        <v>3</v>
      </c>
      <c r="G536">
        <v>18</v>
      </c>
      <c r="H536">
        <v>9</v>
      </c>
      <c r="I536">
        <v>1.9</v>
      </c>
    </row>
    <row r="537" spans="1:9" x14ac:dyDescent="0.3">
      <c r="A537">
        <v>544</v>
      </c>
      <c r="B537">
        <v>1237</v>
      </c>
      <c r="C537">
        <v>2024</v>
      </c>
      <c r="D537">
        <v>5</v>
      </c>
      <c r="E537">
        <v>7</v>
      </c>
      <c r="F537">
        <v>5</v>
      </c>
      <c r="G537">
        <v>17</v>
      </c>
      <c r="H537">
        <v>2</v>
      </c>
      <c r="I537">
        <v>12.1</v>
      </c>
    </row>
    <row r="538" spans="1:9" x14ac:dyDescent="0.3">
      <c r="A538">
        <v>547</v>
      </c>
      <c r="B538">
        <v>1239</v>
      </c>
      <c r="C538">
        <v>2024</v>
      </c>
      <c r="D538">
        <v>3</v>
      </c>
      <c r="E538">
        <v>6</v>
      </c>
      <c r="F538">
        <v>15</v>
      </c>
      <c r="G538">
        <v>28</v>
      </c>
      <c r="H538">
        <v>3</v>
      </c>
      <c r="I538">
        <v>5.2</v>
      </c>
    </row>
    <row r="539" spans="1:9" x14ac:dyDescent="0.3">
      <c r="A539">
        <v>549</v>
      </c>
      <c r="B539">
        <v>1240</v>
      </c>
      <c r="C539">
        <v>2024</v>
      </c>
      <c r="D539">
        <v>3</v>
      </c>
      <c r="E539">
        <v>7</v>
      </c>
      <c r="F539">
        <v>13</v>
      </c>
      <c r="G539">
        <v>17</v>
      </c>
      <c r="H539">
        <v>6</v>
      </c>
      <c r="I539">
        <v>5.7</v>
      </c>
    </row>
    <row r="540" spans="1:9" x14ac:dyDescent="0.3">
      <c r="A540">
        <v>552</v>
      </c>
      <c r="B540">
        <v>1241</v>
      </c>
      <c r="C540">
        <v>2024</v>
      </c>
      <c r="D540">
        <v>4</v>
      </c>
      <c r="E540">
        <v>3</v>
      </c>
      <c r="F540">
        <v>8</v>
      </c>
      <c r="G540">
        <v>14</v>
      </c>
      <c r="H540">
        <v>6</v>
      </c>
      <c r="I540">
        <v>9</v>
      </c>
    </row>
    <row r="541" spans="1:9" x14ac:dyDescent="0.3">
      <c r="A541">
        <v>555</v>
      </c>
      <c r="B541">
        <v>1242</v>
      </c>
      <c r="C541">
        <v>2024</v>
      </c>
      <c r="D541">
        <v>3</v>
      </c>
      <c r="E541">
        <v>3</v>
      </c>
      <c r="F541">
        <v>13</v>
      </c>
      <c r="G541">
        <v>7</v>
      </c>
      <c r="H541">
        <v>3</v>
      </c>
      <c r="I541">
        <v>4.7</v>
      </c>
    </row>
    <row r="542" spans="1:9" x14ac:dyDescent="0.3">
      <c r="A542">
        <v>557</v>
      </c>
      <c r="B542">
        <v>1243</v>
      </c>
      <c r="C542">
        <v>2024</v>
      </c>
      <c r="D542">
        <v>3</v>
      </c>
      <c r="E542">
        <v>7</v>
      </c>
      <c r="F542">
        <v>15</v>
      </c>
      <c r="G542">
        <v>36</v>
      </c>
      <c r="H542">
        <v>4</v>
      </c>
      <c r="I542">
        <v>5.9</v>
      </c>
    </row>
    <row r="543" spans="1:9" x14ac:dyDescent="0.3">
      <c r="A543">
        <v>560</v>
      </c>
      <c r="B543">
        <v>1245</v>
      </c>
      <c r="C543">
        <v>2024</v>
      </c>
      <c r="D543">
        <v>4</v>
      </c>
      <c r="E543">
        <v>6</v>
      </c>
      <c r="F543">
        <v>5</v>
      </c>
      <c r="G543">
        <v>28</v>
      </c>
      <c r="H543">
        <v>3</v>
      </c>
      <c r="I543">
        <v>8.6999999999999993</v>
      </c>
    </row>
    <row r="544" spans="1:9" x14ac:dyDescent="0.3">
      <c r="A544">
        <v>563</v>
      </c>
      <c r="B544">
        <v>1246</v>
      </c>
      <c r="C544">
        <v>2024</v>
      </c>
      <c r="D544">
        <v>5</v>
      </c>
      <c r="E544">
        <v>10</v>
      </c>
      <c r="F544">
        <v>13</v>
      </c>
      <c r="G544">
        <v>30</v>
      </c>
      <c r="H544">
        <v>6</v>
      </c>
      <c r="I544">
        <v>11.4</v>
      </c>
    </row>
    <row r="545" spans="1:9" x14ac:dyDescent="0.3">
      <c r="A545">
        <v>566</v>
      </c>
      <c r="B545">
        <v>1247</v>
      </c>
      <c r="C545">
        <v>2024</v>
      </c>
      <c r="D545">
        <v>4</v>
      </c>
      <c r="E545">
        <v>10</v>
      </c>
      <c r="F545">
        <v>5</v>
      </c>
      <c r="G545">
        <v>35</v>
      </c>
      <c r="H545">
        <v>3</v>
      </c>
      <c r="I545">
        <v>7</v>
      </c>
    </row>
    <row r="546" spans="1:9" x14ac:dyDescent="0.3">
      <c r="A546">
        <v>569</v>
      </c>
      <c r="B546">
        <v>1248</v>
      </c>
      <c r="C546">
        <v>2024</v>
      </c>
      <c r="D546">
        <v>4</v>
      </c>
      <c r="E546">
        <v>7</v>
      </c>
      <c r="F546">
        <v>15</v>
      </c>
      <c r="G546">
        <v>42</v>
      </c>
      <c r="H546">
        <v>1</v>
      </c>
      <c r="I546">
        <v>7.1</v>
      </c>
    </row>
    <row r="547" spans="1:9" x14ac:dyDescent="0.3">
      <c r="A547">
        <v>572</v>
      </c>
      <c r="B547">
        <v>1249</v>
      </c>
      <c r="C547">
        <v>2024</v>
      </c>
      <c r="E547">
        <v>10</v>
      </c>
      <c r="F547">
        <v>0</v>
      </c>
      <c r="G547">
        <v>24</v>
      </c>
      <c r="H547">
        <v>4</v>
      </c>
      <c r="I547">
        <v>11.5</v>
      </c>
    </row>
    <row r="548" spans="1:9" x14ac:dyDescent="0.3">
      <c r="A548">
        <v>575</v>
      </c>
      <c r="B548">
        <v>1250</v>
      </c>
      <c r="C548">
        <v>2024</v>
      </c>
      <c r="D548">
        <v>4</v>
      </c>
      <c r="E548">
        <v>7</v>
      </c>
      <c r="F548">
        <v>4</v>
      </c>
      <c r="G548">
        <v>12</v>
      </c>
      <c r="H548">
        <v>4</v>
      </c>
      <c r="I548">
        <v>9.8000000000000007</v>
      </c>
    </row>
    <row r="549" spans="1:9" x14ac:dyDescent="0.3">
      <c r="A549">
        <v>577</v>
      </c>
      <c r="B549">
        <v>1251</v>
      </c>
      <c r="C549">
        <v>2024</v>
      </c>
      <c r="D549">
        <v>4</v>
      </c>
      <c r="E549">
        <v>8</v>
      </c>
      <c r="F549">
        <v>5</v>
      </c>
      <c r="G549">
        <v>26</v>
      </c>
      <c r="H549">
        <v>3</v>
      </c>
      <c r="I549">
        <v>9.5</v>
      </c>
    </row>
    <row r="550" spans="1:9" x14ac:dyDescent="0.3">
      <c r="A550">
        <v>580</v>
      </c>
      <c r="B550">
        <v>1252</v>
      </c>
      <c r="C550">
        <v>2024</v>
      </c>
      <c r="D550">
        <v>3</v>
      </c>
      <c r="E550">
        <v>6</v>
      </c>
      <c r="F550">
        <v>11</v>
      </c>
      <c r="G550">
        <v>27</v>
      </c>
      <c r="H550">
        <v>3</v>
      </c>
      <c r="I550">
        <v>4.5</v>
      </c>
    </row>
    <row r="551" spans="1:9" x14ac:dyDescent="0.3">
      <c r="A551">
        <v>584</v>
      </c>
      <c r="B551">
        <v>1254</v>
      </c>
      <c r="C551">
        <v>2024</v>
      </c>
      <c r="D551">
        <v>4</v>
      </c>
      <c r="E551">
        <v>8</v>
      </c>
      <c r="F551">
        <v>3</v>
      </c>
      <c r="G551">
        <v>50</v>
      </c>
      <c r="H551">
        <v>4</v>
      </c>
      <c r="I551">
        <v>7.2</v>
      </c>
    </row>
    <row r="552" spans="1:9" x14ac:dyDescent="0.3">
      <c r="A552">
        <v>588</v>
      </c>
      <c r="B552">
        <v>1256</v>
      </c>
      <c r="C552">
        <v>2024</v>
      </c>
      <c r="D552">
        <v>4</v>
      </c>
      <c r="E552">
        <v>3</v>
      </c>
      <c r="F552">
        <v>2</v>
      </c>
      <c r="G552">
        <v>22</v>
      </c>
      <c r="H552">
        <v>6</v>
      </c>
      <c r="I552">
        <v>7.8</v>
      </c>
    </row>
    <row r="553" spans="1:9" x14ac:dyDescent="0.3">
      <c r="A553">
        <v>591</v>
      </c>
      <c r="B553">
        <v>1257</v>
      </c>
      <c r="C553">
        <v>2024</v>
      </c>
      <c r="D553">
        <v>2</v>
      </c>
      <c r="E553">
        <v>7</v>
      </c>
      <c r="F553">
        <v>5</v>
      </c>
      <c r="G553">
        <v>13</v>
      </c>
      <c r="H553">
        <v>1</v>
      </c>
      <c r="I553">
        <v>3.2</v>
      </c>
    </row>
    <row r="554" spans="1:9" x14ac:dyDescent="0.3">
      <c r="A554">
        <v>594</v>
      </c>
      <c r="B554">
        <v>1258</v>
      </c>
      <c r="C554">
        <v>2024</v>
      </c>
      <c r="D554">
        <v>5</v>
      </c>
      <c r="E554">
        <v>8</v>
      </c>
      <c r="F554">
        <v>14</v>
      </c>
      <c r="G554">
        <v>41</v>
      </c>
      <c r="H554">
        <v>3</v>
      </c>
      <c r="I554">
        <v>11</v>
      </c>
    </row>
    <row r="555" spans="1:9" x14ac:dyDescent="0.3">
      <c r="A555">
        <v>597</v>
      </c>
      <c r="B555">
        <v>1259</v>
      </c>
      <c r="C555">
        <v>2024</v>
      </c>
      <c r="D555">
        <v>2</v>
      </c>
      <c r="E555">
        <v>8</v>
      </c>
      <c r="F555">
        <v>13</v>
      </c>
      <c r="G555">
        <v>25</v>
      </c>
      <c r="H555">
        <v>6</v>
      </c>
      <c r="I555">
        <v>1.7</v>
      </c>
    </row>
    <row r="556" spans="1:9" x14ac:dyDescent="0.3">
      <c r="A556">
        <v>600</v>
      </c>
      <c r="B556">
        <v>1260</v>
      </c>
      <c r="C556">
        <v>2024</v>
      </c>
      <c r="D556">
        <v>2</v>
      </c>
      <c r="E556">
        <v>6</v>
      </c>
      <c r="F556">
        <v>0</v>
      </c>
      <c r="G556">
        <v>7</v>
      </c>
      <c r="H556">
        <v>4</v>
      </c>
      <c r="I556">
        <v>1.8</v>
      </c>
    </row>
    <row r="557" spans="1:9" x14ac:dyDescent="0.3">
      <c r="A557">
        <v>603</v>
      </c>
      <c r="B557">
        <v>1261</v>
      </c>
      <c r="C557">
        <v>2024</v>
      </c>
      <c r="D557">
        <v>3</v>
      </c>
      <c r="E557">
        <v>6</v>
      </c>
      <c r="F557">
        <v>9</v>
      </c>
      <c r="G557">
        <v>36</v>
      </c>
      <c r="H557">
        <v>9</v>
      </c>
      <c r="I557">
        <v>4.9000000000000004</v>
      </c>
    </row>
    <row r="558" spans="1:9" x14ac:dyDescent="0.3">
      <c r="A558">
        <v>607</v>
      </c>
      <c r="B558">
        <v>1263</v>
      </c>
      <c r="C558">
        <v>2024</v>
      </c>
      <c r="D558">
        <v>4</v>
      </c>
      <c r="E558">
        <v>4</v>
      </c>
      <c r="F558">
        <v>19</v>
      </c>
      <c r="G558">
        <v>27</v>
      </c>
      <c r="H558">
        <v>5</v>
      </c>
      <c r="I558">
        <v>8</v>
      </c>
    </row>
    <row r="559" spans="1:9" x14ac:dyDescent="0.3">
      <c r="A559">
        <v>611</v>
      </c>
      <c r="B559">
        <v>1265</v>
      </c>
      <c r="C559">
        <v>2024</v>
      </c>
      <c r="D559">
        <v>3</v>
      </c>
      <c r="E559">
        <v>7</v>
      </c>
      <c r="F559">
        <v>0</v>
      </c>
      <c r="G559">
        <v>16</v>
      </c>
      <c r="H559">
        <v>4</v>
      </c>
      <c r="I559">
        <v>3.7</v>
      </c>
    </row>
    <row r="560" spans="1:9" x14ac:dyDescent="0.3">
      <c r="A560">
        <v>614</v>
      </c>
      <c r="B560">
        <v>1266</v>
      </c>
      <c r="C560">
        <v>2024</v>
      </c>
      <c r="D560">
        <v>3</v>
      </c>
      <c r="E560">
        <v>7</v>
      </c>
      <c r="F560">
        <v>14</v>
      </c>
      <c r="G560">
        <v>19</v>
      </c>
      <c r="H560">
        <v>4</v>
      </c>
      <c r="I560">
        <v>4</v>
      </c>
    </row>
    <row r="561" spans="1:9" x14ac:dyDescent="0.3">
      <c r="A561">
        <v>617</v>
      </c>
      <c r="B561">
        <v>1267</v>
      </c>
      <c r="C561">
        <v>2024</v>
      </c>
      <c r="D561">
        <v>3</v>
      </c>
      <c r="E561">
        <v>7</v>
      </c>
      <c r="F561">
        <v>17</v>
      </c>
      <c r="G561">
        <v>24</v>
      </c>
      <c r="H561">
        <v>6</v>
      </c>
      <c r="I561">
        <v>5.7</v>
      </c>
    </row>
    <row r="562" spans="1:9" x14ac:dyDescent="0.3">
      <c r="A562">
        <v>620</v>
      </c>
      <c r="B562">
        <v>1268</v>
      </c>
      <c r="C562">
        <v>2024</v>
      </c>
      <c r="D562">
        <v>3</v>
      </c>
      <c r="E562">
        <v>6</v>
      </c>
      <c r="F562">
        <v>15</v>
      </c>
      <c r="G562">
        <v>12</v>
      </c>
      <c r="H562">
        <v>2</v>
      </c>
      <c r="I562">
        <v>6.2</v>
      </c>
    </row>
    <row r="563" spans="1:9" x14ac:dyDescent="0.3">
      <c r="A563">
        <v>623</v>
      </c>
      <c r="B563">
        <v>1269</v>
      </c>
      <c r="C563">
        <v>2024</v>
      </c>
      <c r="D563">
        <v>4</v>
      </c>
      <c r="E563">
        <v>8</v>
      </c>
      <c r="F563">
        <v>4</v>
      </c>
      <c r="G563">
        <v>32</v>
      </c>
      <c r="H563">
        <v>4</v>
      </c>
      <c r="I563">
        <v>8.1</v>
      </c>
    </row>
    <row r="564" spans="1:9" x14ac:dyDescent="0.3">
      <c r="A564">
        <v>626</v>
      </c>
      <c r="B564">
        <v>1271</v>
      </c>
      <c r="C564">
        <v>2024</v>
      </c>
      <c r="D564">
        <v>5</v>
      </c>
      <c r="E564">
        <v>3</v>
      </c>
      <c r="F564">
        <v>4</v>
      </c>
      <c r="G564">
        <v>19</v>
      </c>
      <c r="H564">
        <v>3</v>
      </c>
      <c r="I564">
        <v>12.1</v>
      </c>
    </row>
    <row r="565" spans="1:9" x14ac:dyDescent="0.3">
      <c r="A565">
        <v>629</v>
      </c>
      <c r="B565">
        <v>1272</v>
      </c>
      <c r="C565">
        <v>2024</v>
      </c>
      <c r="D565">
        <v>3</v>
      </c>
      <c r="E565">
        <v>3</v>
      </c>
      <c r="F565">
        <v>11</v>
      </c>
      <c r="G565">
        <v>40</v>
      </c>
      <c r="H565">
        <v>15</v>
      </c>
      <c r="I565">
        <v>5.0999999999999996</v>
      </c>
    </row>
    <row r="566" spans="1:9" x14ac:dyDescent="0.3">
      <c r="A566">
        <v>632</v>
      </c>
      <c r="B566">
        <v>1274</v>
      </c>
      <c r="C566">
        <v>2024</v>
      </c>
      <c r="D566">
        <v>4</v>
      </c>
      <c r="E566">
        <v>7</v>
      </c>
      <c r="F566">
        <v>14</v>
      </c>
      <c r="G566">
        <v>55</v>
      </c>
      <c r="H566">
        <v>4</v>
      </c>
      <c r="I566">
        <v>8</v>
      </c>
    </row>
    <row r="567" spans="1:9" x14ac:dyDescent="0.3">
      <c r="A567">
        <v>635</v>
      </c>
      <c r="B567">
        <v>1275</v>
      </c>
      <c r="C567">
        <v>2024</v>
      </c>
      <c r="D567">
        <v>3</v>
      </c>
      <c r="E567">
        <v>10</v>
      </c>
      <c r="F567">
        <v>8</v>
      </c>
      <c r="G567">
        <v>23</v>
      </c>
      <c r="H567">
        <v>1</v>
      </c>
      <c r="I567">
        <v>3.8</v>
      </c>
    </row>
    <row r="568" spans="1:9" x14ac:dyDescent="0.3">
      <c r="A568">
        <v>638</v>
      </c>
      <c r="B568">
        <v>1276</v>
      </c>
      <c r="C568">
        <v>2024</v>
      </c>
      <c r="D568">
        <v>4</v>
      </c>
      <c r="E568">
        <v>6</v>
      </c>
      <c r="F568">
        <v>2</v>
      </c>
      <c r="G568">
        <v>13</v>
      </c>
      <c r="H568">
        <v>2</v>
      </c>
      <c r="I568">
        <v>9.1</v>
      </c>
    </row>
    <row r="569" spans="1:9" x14ac:dyDescent="0.3">
      <c r="A569">
        <v>641</v>
      </c>
      <c r="B569">
        <v>1278</v>
      </c>
      <c r="C569">
        <v>2024</v>
      </c>
      <c r="D569">
        <v>1</v>
      </c>
      <c r="E569">
        <v>9</v>
      </c>
      <c r="F569">
        <v>8</v>
      </c>
      <c r="G569">
        <v>23</v>
      </c>
      <c r="H569">
        <v>4</v>
      </c>
      <c r="I569">
        <v>0</v>
      </c>
    </row>
    <row r="570" spans="1:9" x14ac:dyDescent="0.3">
      <c r="A570">
        <v>645</v>
      </c>
      <c r="B570">
        <v>1280</v>
      </c>
      <c r="C570">
        <v>2024</v>
      </c>
      <c r="D570">
        <v>4</v>
      </c>
      <c r="E570">
        <v>7</v>
      </c>
      <c r="F570">
        <v>3</v>
      </c>
      <c r="G570">
        <v>26</v>
      </c>
      <c r="H570">
        <v>3</v>
      </c>
      <c r="I570">
        <v>8</v>
      </c>
    </row>
    <row r="571" spans="1:9" x14ac:dyDescent="0.3">
      <c r="A571">
        <v>648</v>
      </c>
      <c r="B571">
        <v>1281</v>
      </c>
      <c r="C571">
        <v>2024</v>
      </c>
      <c r="D571">
        <v>4</v>
      </c>
      <c r="E571">
        <v>8</v>
      </c>
      <c r="F571">
        <v>3</v>
      </c>
      <c r="G571">
        <v>20</v>
      </c>
      <c r="H571">
        <v>3</v>
      </c>
      <c r="I571">
        <v>8.1999999999999993</v>
      </c>
    </row>
    <row r="572" spans="1:9" x14ac:dyDescent="0.3">
      <c r="A572">
        <v>652</v>
      </c>
      <c r="B572">
        <v>1283</v>
      </c>
      <c r="C572">
        <v>2024</v>
      </c>
      <c r="D572">
        <v>4</v>
      </c>
      <c r="E572">
        <v>9</v>
      </c>
      <c r="F572">
        <v>5</v>
      </c>
      <c r="G572">
        <v>22</v>
      </c>
      <c r="H572">
        <v>5</v>
      </c>
      <c r="I572">
        <v>7.9</v>
      </c>
    </row>
    <row r="573" spans="1:9" x14ac:dyDescent="0.3">
      <c r="A573">
        <v>655</v>
      </c>
      <c r="B573">
        <v>1284</v>
      </c>
      <c r="C573">
        <v>2024</v>
      </c>
      <c r="D573">
        <v>5</v>
      </c>
      <c r="E573">
        <v>8</v>
      </c>
      <c r="F573">
        <v>4</v>
      </c>
      <c r="G573">
        <v>17</v>
      </c>
      <c r="H573">
        <v>4</v>
      </c>
      <c r="I573">
        <v>11.2</v>
      </c>
    </row>
    <row r="574" spans="1:9" x14ac:dyDescent="0.3">
      <c r="A574">
        <v>658</v>
      </c>
      <c r="B574">
        <v>1285</v>
      </c>
      <c r="C574">
        <v>2024</v>
      </c>
      <c r="D574">
        <v>5</v>
      </c>
      <c r="E574">
        <v>10</v>
      </c>
      <c r="F574">
        <v>4</v>
      </c>
      <c r="G574">
        <v>27</v>
      </c>
      <c r="H574">
        <v>1</v>
      </c>
      <c r="I574">
        <v>11.1</v>
      </c>
    </row>
    <row r="575" spans="1:9" x14ac:dyDescent="0.3">
      <c r="A575">
        <v>661</v>
      </c>
      <c r="B575">
        <v>1286</v>
      </c>
      <c r="C575">
        <v>2024</v>
      </c>
      <c r="D575">
        <v>4</v>
      </c>
      <c r="E575">
        <v>6</v>
      </c>
      <c r="F575">
        <v>14</v>
      </c>
      <c r="G575">
        <v>17</v>
      </c>
      <c r="H575">
        <v>4</v>
      </c>
      <c r="I575">
        <v>8</v>
      </c>
    </row>
    <row r="576" spans="1:9" x14ac:dyDescent="0.3">
      <c r="A576">
        <v>664</v>
      </c>
      <c r="B576">
        <v>1287</v>
      </c>
      <c r="C576">
        <v>2024</v>
      </c>
      <c r="D576">
        <v>2</v>
      </c>
      <c r="E576">
        <v>5</v>
      </c>
      <c r="F576">
        <v>5</v>
      </c>
      <c r="G576">
        <v>16</v>
      </c>
      <c r="H576">
        <v>8</v>
      </c>
      <c r="I576">
        <v>2.2000000000000002</v>
      </c>
    </row>
    <row r="577" spans="1:9" x14ac:dyDescent="0.3">
      <c r="A577">
        <v>667</v>
      </c>
      <c r="B577">
        <v>1289</v>
      </c>
      <c r="C577">
        <v>2024</v>
      </c>
      <c r="D577">
        <v>5</v>
      </c>
      <c r="E577">
        <v>5</v>
      </c>
      <c r="F577">
        <v>12</v>
      </c>
      <c r="G577">
        <v>38</v>
      </c>
      <c r="H577">
        <v>4</v>
      </c>
      <c r="I577">
        <v>10.5</v>
      </c>
    </row>
    <row r="578" spans="1:9" x14ac:dyDescent="0.3">
      <c r="A578">
        <v>670</v>
      </c>
      <c r="B578">
        <v>1290</v>
      </c>
      <c r="C578">
        <v>2024</v>
      </c>
      <c r="D578">
        <v>4</v>
      </c>
      <c r="E578">
        <v>4</v>
      </c>
      <c r="F578">
        <v>0</v>
      </c>
      <c r="G578">
        <v>24</v>
      </c>
      <c r="H578">
        <v>4</v>
      </c>
      <c r="I578">
        <v>7.8</v>
      </c>
    </row>
    <row r="579" spans="1:9" x14ac:dyDescent="0.3">
      <c r="A579">
        <v>673</v>
      </c>
      <c r="B579">
        <v>1292</v>
      </c>
      <c r="C579">
        <v>2024</v>
      </c>
      <c r="D579">
        <v>3</v>
      </c>
      <c r="E579">
        <v>8</v>
      </c>
      <c r="F579">
        <v>7</v>
      </c>
      <c r="G579">
        <v>26</v>
      </c>
      <c r="H579">
        <v>4</v>
      </c>
      <c r="I579">
        <v>3.2</v>
      </c>
    </row>
    <row r="580" spans="1:9" x14ac:dyDescent="0.3">
      <c r="A580">
        <v>675</v>
      </c>
      <c r="B580">
        <v>1293</v>
      </c>
      <c r="C580">
        <v>2024</v>
      </c>
      <c r="D580">
        <v>4</v>
      </c>
      <c r="E580">
        <v>10</v>
      </c>
      <c r="F580">
        <v>3</v>
      </c>
      <c r="G580">
        <v>39</v>
      </c>
      <c r="H580">
        <v>5</v>
      </c>
      <c r="I580">
        <v>8.4</v>
      </c>
    </row>
    <row r="581" spans="1:9" x14ac:dyDescent="0.3">
      <c r="A581">
        <v>678</v>
      </c>
      <c r="B581">
        <v>1294</v>
      </c>
      <c r="C581">
        <v>2024</v>
      </c>
      <c r="D581">
        <v>3</v>
      </c>
      <c r="E581">
        <v>8</v>
      </c>
      <c r="F581">
        <v>9</v>
      </c>
      <c r="G581">
        <v>22</v>
      </c>
      <c r="H581">
        <v>3</v>
      </c>
      <c r="I581">
        <v>5.8</v>
      </c>
    </row>
    <row r="582" spans="1:9" x14ac:dyDescent="0.3">
      <c r="A582">
        <v>681</v>
      </c>
      <c r="B582">
        <v>1296</v>
      </c>
      <c r="C582">
        <v>2024</v>
      </c>
      <c r="D582">
        <v>2</v>
      </c>
      <c r="E582">
        <v>6</v>
      </c>
      <c r="F582">
        <v>5</v>
      </c>
      <c r="G582">
        <v>37</v>
      </c>
      <c r="H582">
        <v>8</v>
      </c>
      <c r="I582">
        <v>2.2000000000000002</v>
      </c>
    </row>
    <row r="583" spans="1:9" x14ac:dyDescent="0.3">
      <c r="A583">
        <v>684</v>
      </c>
      <c r="B583">
        <v>1297</v>
      </c>
      <c r="C583">
        <v>2024</v>
      </c>
      <c r="D583">
        <v>2</v>
      </c>
      <c r="E583">
        <v>9</v>
      </c>
      <c r="F583">
        <v>0</v>
      </c>
      <c r="G583">
        <v>27</v>
      </c>
      <c r="H583">
        <v>2</v>
      </c>
      <c r="I583">
        <v>1.4</v>
      </c>
    </row>
    <row r="584" spans="1:9" x14ac:dyDescent="0.3">
      <c r="A584">
        <v>688</v>
      </c>
      <c r="B584">
        <v>1299</v>
      </c>
      <c r="C584">
        <v>2024</v>
      </c>
      <c r="D584">
        <v>3</v>
      </c>
      <c r="E584">
        <v>8</v>
      </c>
      <c r="F584">
        <v>3</v>
      </c>
      <c r="G584">
        <v>43</v>
      </c>
      <c r="H584">
        <v>3</v>
      </c>
      <c r="I584">
        <v>7.1</v>
      </c>
    </row>
    <row r="585" spans="1:9" x14ac:dyDescent="0.3">
      <c r="A585">
        <v>691</v>
      </c>
      <c r="B585">
        <v>1300</v>
      </c>
      <c r="C585">
        <v>2024</v>
      </c>
      <c r="D585">
        <v>3</v>
      </c>
      <c r="E585">
        <v>7</v>
      </c>
      <c r="F585">
        <v>0</v>
      </c>
      <c r="G585">
        <v>30</v>
      </c>
      <c r="H585">
        <v>3</v>
      </c>
      <c r="I585">
        <v>4.5</v>
      </c>
    </row>
    <row r="586" spans="1:9" x14ac:dyDescent="0.3">
      <c r="A586">
        <v>694</v>
      </c>
      <c r="B586">
        <v>1301</v>
      </c>
      <c r="C586">
        <v>2024</v>
      </c>
      <c r="D586">
        <v>3</v>
      </c>
      <c r="E586">
        <v>9</v>
      </c>
      <c r="F586">
        <v>11</v>
      </c>
      <c r="G586">
        <v>40</v>
      </c>
      <c r="H586">
        <v>9</v>
      </c>
      <c r="I586">
        <v>4.7</v>
      </c>
    </row>
    <row r="587" spans="1:9" x14ac:dyDescent="0.3">
      <c r="A587">
        <v>697</v>
      </c>
      <c r="B587">
        <v>1302</v>
      </c>
      <c r="C587">
        <v>2024</v>
      </c>
      <c r="D587">
        <v>3</v>
      </c>
      <c r="E587">
        <v>10</v>
      </c>
      <c r="F587">
        <v>1</v>
      </c>
      <c r="G587">
        <v>17</v>
      </c>
      <c r="H587">
        <v>1</v>
      </c>
      <c r="I587">
        <v>6</v>
      </c>
    </row>
    <row r="588" spans="1:9" x14ac:dyDescent="0.3">
      <c r="A588">
        <v>700</v>
      </c>
      <c r="B588">
        <v>1303</v>
      </c>
      <c r="C588">
        <v>2024</v>
      </c>
      <c r="E588">
        <v>7</v>
      </c>
      <c r="F588">
        <v>11</v>
      </c>
      <c r="G588">
        <v>23</v>
      </c>
      <c r="H588">
        <v>2</v>
      </c>
      <c r="I588">
        <v>7.9</v>
      </c>
    </row>
    <row r="589" spans="1:9" x14ac:dyDescent="0.3">
      <c r="A589">
        <v>702</v>
      </c>
      <c r="B589">
        <v>1304</v>
      </c>
      <c r="C589">
        <v>2024</v>
      </c>
      <c r="D589">
        <v>2</v>
      </c>
      <c r="E589">
        <v>5</v>
      </c>
      <c r="F589">
        <v>0</v>
      </c>
      <c r="G589">
        <v>27</v>
      </c>
      <c r="H589">
        <v>12</v>
      </c>
      <c r="I589">
        <v>2.6</v>
      </c>
    </row>
    <row r="590" spans="1:9" x14ac:dyDescent="0.3">
      <c r="A590">
        <v>705</v>
      </c>
      <c r="B590">
        <v>1305</v>
      </c>
      <c r="C590">
        <v>2024</v>
      </c>
      <c r="D590">
        <v>3</v>
      </c>
      <c r="E590">
        <v>5</v>
      </c>
      <c r="F590">
        <v>11</v>
      </c>
      <c r="G590">
        <v>18</v>
      </c>
      <c r="H590">
        <v>5</v>
      </c>
      <c r="I590">
        <v>5.0999999999999996</v>
      </c>
    </row>
    <row r="591" spans="1:9" x14ac:dyDescent="0.3">
      <c r="A591">
        <v>708</v>
      </c>
      <c r="B591">
        <v>1306</v>
      </c>
      <c r="C591">
        <v>2024</v>
      </c>
      <c r="D591">
        <v>4</v>
      </c>
      <c r="E591">
        <v>10</v>
      </c>
      <c r="F591">
        <v>16</v>
      </c>
      <c r="G591">
        <v>32</v>
      </c>
      <c r="H591">
        <v>4</v>
      </c>
      <c r="I591">
        <v>7.4</v>
      </c>
    </row>
    <row r="592" spans="1:9" x14ac:dyDescent="0.3">
      <c r="A592">
        <v>710</v>
      </c>
      <c r="B592">
        <v>1307</v>
      </c>
      <c r="C592">
        <v>2024</v>
      </c>
      <c r="D592">
        <v>4</v>
      </c>
      <c r="E592">
        <v>4</v>
      </c>
      <c r="F592">
        <v>1</v>
      </c>
      <c r="G592">
        <v>15</v>
      </c>
      <c r="H592">
        <v>5</v>
      </c>
      <c r="I592">
        <v>7.9</v>
      </c>
    </row>
    <row r="593" spans="1:9" x14ac:dyDescent="0.3">
      <c r="A593">
        <v>713</v>
      </c>
      <c r="B593">
        <v>1308</v>
      </c>
      <c r="C593">
        <v>2024</v>
      </c>
      <c r="D593">
        <v>2</v>
      </c>
      <c r="E593">
        <v>6</v>
      </c>
      <c r="F593">
        <v>6</v>
      </c>
      <c r="G593">
        <v>15</v>
      </c>
      <c r="H593">
        <v>4</v>
      </c>
      <c r="I593">
        <v>2.4</v>
      </c>
    </row>
    <row r="594" spans="1:9" x14ac:dyDescent="0.3">
      <c r="A594">
        <v>716</v>
      </c>
      <c r="B594">
        <v>1309</v>
      </c>
      <c r="C594">
        <v>2024</v>
      </c>
      <c r="D594">
        <v>4</v>
      </c>
      <c r="E594">
        <v>8</v>
      </c>
      <c r="F594">
        <v>16</v>
      </c>
      <c r="G594">
        <v>29</v>
      </c>
      <c r="H594">
        <v>6</v>
      </c>
      <c r="I594">
        <v>9.1999999999999993</v>
      </c>
    </row>
    <row r="595" spans="1:9" x14ac:dyDescent="0.3">
      <c r="A595">
        <v>719</v>
      </c>
      <c r="B595">
        <v>1311</v>
      </c>
      <c r="C595">
        <v>2024</v>
      </c>
      <c r="D595">
        <v>4</v>
      </c>
      <c r="E595">
        <v>10</v>
      </c>
      <c r="F595">
        <v>4</v>
      </c>
      <c r="G595">
        <v>20</v>
      </c>
      <c r="H595">
        <v>4</v>
      </c>
      <c r="I595">
        <v>7.3</v>
      </c>
    </row>
    <row r="596" spans="1:9" x14ac:dyDescent="0.3">
      <c r="A596">
        <v>722</v>
      </c>
      <c r="B596">
        <v>1312</v>
      </c>
      <c r="C596">
        <v>2024</v>
      </c>
      <c r="D596">
        <v>4</v>
      </c>
      <c r="E596">
        <v>4</v>
      </c>
      <c r="F596">
        <v>13</v>
      </c>
      <c r="G596">
        <v>27</v>
      </c>
      <c r="H596">
        <v>7</v>
      </c>
      <c r="I596">
        <v>7.7</v>
      </c>
    </row>
    <row r="597" spans="1:9" x14ac:dyDescent="0.3">
      <c r="A597">
        <v>724</v>
      </c>
      <c r="B597">
        <v>1313</v>
      </c>
      <c r="C597">
        <v>2024</v>
      </c>
      <c r="D597">
        <v>4</v>
      </c>
      <c r="E597">
        <v>8</v>
      </c>
      <c r="F597">
        <v>9</v>
      </c>
      <c r="G597">
        <v>18</v>
      </c>
      <c r="H597">
        <v>3</v>
      </c>
      <c r="I597">
        <v>8.4</v>
      </c>
    </row>
    <row r="598" spans="1:9" x14ac:dyDescent="0.3">
      <c r="A598">
        <v>728</v>
      </c>
      <c r="B598">
        <v>1315</v>
      </c>
      <c r="C598">
        <v>2024</v>
      </c>
      <c r="D598">
        <v>4</v>
      </c>
      <c r="E598">
        <v>7</v>
      </c>
      <c r="F598">
        <v>10</v>
      </c>
      <c r="G598">
        <v>23</v>
      </c>
      <c r="H598">
        <v>4</v>
      </c>
      <c r="I598">
        <v>7.3</v>
      </c>
    </row>
    <row r="599" spans="1:9" x14ac:dyDescent="0.3">
      <c r="A599">
        <v>730</v>
      </c>
      <c r="B599">
        <v>1316</v>
      </c>
      <c r="C599">
        <v>2024</v>
      </c>
      <c r="D599">
        <v>5</v>
      </c>
      <c r="E599">
        <v>6</v>
      </c>
      <c r="F599">
        <v>4</v>
      </c>
      <c r="G599">
        <v>23</v>
      </c>
      <c r="H599">
        <v>4</v>
      </c>
      <c r="I599">
        <v>11.3</v>
      </c>
    </row>
    <row r="600" spans="1:9" x14ac:dyDescent="0.3">
      <c r="A600">
        <v>733</v>
      </c>
      <c r="B600">
        <v>1317</v>
      </c>
      <c r="C600">
        <v>2024</v>
      </c>
      <c r="D600">
        <v>3</v>
      </c>
      <c r="E600">
        <v>8</v>
      </c>
      <c r="F600">
        <v>17</v>
      </c>
      <c r="G600">
        <v>28</v>
      </c>
      <c r="H600">
        <v>4</v>
      </c>
      <c r="I600">
        <v>4.5999999999999996</v>
      </c>
    </row>
    <row r="601" spans="1:9" x14ac:dyDescent="0.3">
      <c r="A601">
        <v>736</v>
      </c>
      <c r="B601">
        <v>1318</v>
      </c>
      <c r="C601">
        <v>2024</v>
      </c>
      <c r="D601">
        <v>4</v>
      </c>
      <c r="E601">
        <v>8</v>
      </c>
      <c r="F601">
        <v>0</v>
      </c>
      <c r="G601">
        <v>36</v>
      </c>
      <c r="H601">
        <v>4</v>
      </c>
      <c r="I601">
        <v>8.8000000000000007</v>
      </c>
    </row>
    <row r="602" spans="1:9" x14ac:dyDescent="0.3">
      <c r="A602">
        <v>739</v>
      </c>
      <c r="B602">
        <v>1319</v>
      </c>
      <c r="C602">
        <v>2024</v>
      </c>
      <c r="D602">
        <v>3</v>
      </c>
      <c r="E602">
        <v>10</v>
      </c>
      <c r="F602">
        <v>6</v>
      </c>
      <c r="G602">
        <v>0</v>
      </c>
      <c r="H602">
        <v>4</v>
      </c>
      <c r="I602">
        <v>4.5</v>
      </c>
    </row>
    <row r="603" spans="1:9" x14ac:dyDescent="0.3">
      <c r="A603">
        <v>742</v>
      </c>
      <c r="B603">
        <v>1320</v>
      </c>
      <c r="C603">
        <v>2024</v>
      </c>
      <c r="D603">
        <v>4</v>
      </c>
      <c r="E603">
        <v>4</v>
      </c>
      <c r="F603">
        <v>6</v>
      </c>
      <c r="G603">
        <v>18</v>
      </c>
      <c r="H603">
        <v>5</v>
      </c>
      <c r="I603">
        <v>9.1</v>
      </c>
    </row>
    <row r="604" spans="1:9" x14ac:dyDescent="0.3">
      <c r="A604">
        <v>745</v>
      </c>
      <c r="B604">
        <v>1321</v>
      </c>
      <c r="C604">
        <v>2024</v>
      </c>
      <c r="D604">
        <v>4</v>
      </c>
      <c r="E604">
        <v>7</v>
      </c>
      <c r="F604">
        <v>10</v>
      </c>
      <c r="G604">
        <v>27</v>
      </c>
      <c r="H604">
        <v>4</v>
      </c>
      <c r="I604">
        <v>7.3</v>
      </c>
    </row>
    <row r="605" spans="1:9" x14ac:dyDescent="0.3">
      <c r="A605">
        <v>748</v>
      </c>
      <c r="B605">
        <v>1323</v>
      </c>
      <c r="C605">
        <v>2024</v>
      </c>
      <c r="D605">
        <v>4</v>
      </c>
      <c r="E605">
        <v>5</v>
      </c>
      <c r="F605">
        <v>12</v>
      </c>
      <c r="G605">
        <v>3</v>
      </c>
      <c r="H605">
        <v>7</v>
      </c>
      <c r="I605">
        <v>7.4</v>
      </c>
    </row>
    <row r="606" spans="1:9" x14ac:dyDescent="0.3">
      <c r="A606">
        <v>751</v>
      </c>
      <c r="B606">
        <v>1324</v>
      </c>
      <c r="C606">
        <v>2024</v>
      </c>
      <c r="D606">
        <v>2</v>
      </c>
      <c r="E606">
        <v>5</v>
      </c>
      <c r="F606">
        <v>23</v>
      </c>
      <c r="G606">
        <v>9</v>
      </c>
      <c r="H606">
        <v>4</v>
      </c>
      <c r="I606">
        <v>3.7</v>
      </c>
    </row>
    <row r="607" spans="1:9" x14ac:dyDescent="0.3">
      <c r="A607">
        <v>754</v>
      </c>
      <c r="B607">
        <v>1325</v>
      </c>
      <c r="C607">
        <v>2024</v>
      </c>
      <c r="D607">
        <v>3</v>
      </c>
      <c r="E607">
        <v>5</v>
      </c>
      <c r="F607">
        <v>14</v>
      </c>
      <c r="G607">
        <v>23</v>
      </c>
      <c r="H607">
        <v>7</v>
      </c>
      <c r="I607">
        <v>5.6</v>
      </c>
    </row>
    <row r="608" spans="1:9" x14ac:dyDescent="0.3">
      <c r="A608">
        <v>757</v>
      </c>
      <c r="B608">
        <v>1326</v>
      </c>
      <c r="C608">
        <v>2024</v>
      </c>
      <c r="D608">
        <v>3</v>
      </c>
      <c r="E608">
        <v>4</v>
      </c>
      <c r="F608">
        <v>0</v>
      </c>
      <c r="G608">
        <v>33</v>
      </c>
      <c r="H608">
        <v>5</v>
      </c>
      <c r="I608">
        <v>4.8</v>
      </c>
    </row>
    <row r="609" spans="1:9" x14ac:dyDescent="0.3">
      <c r="A609">
        <v>760</v>
      </c>
      <c r="B609">
        <v>1327</v>
      </c>
      <c r="C609">
        <v>2024</v>
      </c>
      <c r="D609">
        <v>2</v>
      </c>
      <c r="E609">
        <v>6</v>
      </c>
      <c r="F609">
        <v>8</v>
      </c>
      <c r="G609">
        <v>14</v>
      </c>
      <c r="H609">
        <v>4</v>
      </c>
      <c r="I609">
        <v>1.8</v>
      </c>
    </row>
    <row r="610" spans="1:9" x14ac:dyDescent="0.3">
      <c r="A610">
        <v>763</v>
      </c>
      <c r="B610">
        <v>1328</v>
      </c>
      <c r="C610">
        <v>2024</v>
      </c>
      <c r="D610">
        <v>5</v>
      </c>
      <c r="E610">
        <v>5</v>
      </c>
      <c r="F610">
        <v>4</v>
      </c>
      <c r="G610">
        <v>8</v>
      </c>
      <c r="H610">
        <v>5</v>
      </c>
      <c r="I610">
        <v>11.3</v>
      </c>
    </row>
    <row r="611" spans="1:9" x14ac:dyDescent="0.3">
      <c r="A611">
        <v>766</v>
      </c>
      <c r="B611">
        <v>1330</v>
      </c>
      <c r="C611">
        <v>2024</v>
      </c>
      <c r="D611">
        <v>4</v>
      </c>
      <c r="E611">
        <v>8</v>
      </c>
      <c r="F611">
        <v>14</v>
      </c>
      <c r="G611">
        <v>17</v>
      </c>
      <c r="H611">
        <v>3</v>
      </c>
      <c r="I611">
        <v>7.6</v>
      </c>
    </row>
    <row r="612" spans="1:9" x14ac:dyDescent="0.3">
      <c r="A612">
        <v>769</v>
      </c>
      <c r="B612">
        <v>1331</v>
      </c>
      <c r="C612">
        <v>2024</v>
      </c>
      <c r="D612">
        <v>3</v>
      </c>
      <c r="E612">
        <v>8</v>
      </c>
      <c r="F612">
        <v>0</v>
      </c>
      <c r="G612">
        <v>23</v>
      </c>
      <c r="H612">
        <v>1</v>
      </c>
      <c r="I612">
        <v>4.2</v>
      </c>
    </row>
    <row r="613" spans="1:9" x14ac:dyDescent="0.3">
      <c r="A613">
        <v>772</v>
      </c>
      <c r="B613">
        <v>1332</v>
      </c>
      <c r="C613">
        <v>2024</v>
      </c>
      <c r="D613">
        <v>4</v>
      </c>
      <c r="E613">
        <v>7</v>
      </c>
      <c r="F613">
        <v>18</v>
      </c>
      <c r="G613">
        <v>42</v>
      </c>
      <c r="H613">
        <v>5</v>
      </c>
      <c r="I613">
        <v>8.3000000000000007</v>
      </c>
    </row>
    <row r="614" spans="1:9" x14ac:dyDescent="0.3">
      <c r="A614">
        <v>775</v>
      </c>
      <c r="B614">
        <v>1333</v>
      </c>
      <c r="C614">
        <v>2024</v>
      </c>
      <c r="D614">
        <v>3</v>
      </c>
      <c r="E614">
        <v>7</v>
      </c>
      <c r="F614">
        <v>11</v>
      </c>
      <c r="G614">
        <v>38</v>
      </c>
      <c r="H614">
        <v>2</v>
      </c>
      <c r="I614">
        <v>5</v>
      </c>
    </row>
    <row r="615" spans="1:9" x14ac:dyDescent="0.3">
      <c r="A615">
        <v>778</v>
      </c>
      <c r="B615">
        <v>1334</v>
      </c>
      <c r="C615">
        <v>2024</v>
      </c>
      <c r="D615">
        <v>2</v>
      </c>
      <c r="E615">
        <v>6</v>
      </c>
      <c r="F615">
        <v>12</v>
      </c>
      <c r="G615">
        <v>20</v>
      </c>
      <c r="H615">
        <v>5</v>
      </c>
      <c r="I615">
        <v>1.3</v>
      </c>
    </row>
    <row r="616" spans="1:9" x14ac:dyDescent="0.3">
      <c r="A616">
        <v>781</v>
      </c>
      <c r="B616">
        <v>1335</v>
      </c>
      <c r="C616">
        <v>2024</v>
      </c>
      <c r="D616">
        <v>5</v>
      </c>
      <c r="E616">
        <v>6</v>
      </c>
      <c r="F616">
        <v>6</v>
      </c>
      <c r="G616">
        <v>17</v>
      </c>
      <c r="H616">
        <v>2</v>
      </c>
      <c r="I616">
        <v>13.9</v>
      </c>
    </row>
    <row r="617" spans="1:9" x14ac:dyDescent="0.3">
      <c r="A617">
        <v>784</v>
      </c>
      <c r="B617">
        <v>1336</v>
      </c>
      <c r="C617">
        <v>2024</v>
      </c>
      <c r="D617">
        <v>3</v>
      </c>
      <c r="E617">
        <v>6</v>
      </c>
      <c r="F617">
        <v>8</v>
      </c>
      <c r="G617">
        <v>31</v>
      </c>
      <c r="H617">
        <v>5</v>
      </c>
      <c r="I617">
        <v>4.8</v>
      </c>
    </row>
    <row r="618" spans="1:9" x14ac:dyDescent="0.3">
      <c r="A618">
        <v>787</v>
      </c>
      <c r="B618">
        <v>1338</v>
      </c>
      <c r="C618">
        <v>2024</v>
      </c>
      <c r="D618">
        <v>3</v>
      </c>
      <c r="E618">
        <v>8</v>
      </c>
      <c r="F618">
        <v>0</v>
      </c>
      <c r="G618">
        <v>14</v>
      </c>
      <c r="H618">
        <v>2</v>
      </c>
      <c r="I618">
        <v>4.8</v>
      </c>
    </row>
    <row r="619" spans="1:9" x14ac:dyDescent="0.3">
      <c r="A619">
        <v>790</v>
      </c>
      <c r="B619">
        <v>1339</v>
      </c>
      <c r="C619">
        <v>2024</v>
      </c>
      <c r="D619">
        <v>3</v>
      </c>
      <c r="E619">
        <v>7</v>
      </c>
      <c r="F619">
        <v>3</v>
      </c>
      <c r="G619">
        <v>10</v>
      </c>
      <c r="H619">
        <v>5</v>
      </c>
      <c r="I619">
        <v>5.9</v>
      </c>
    </row>
    <row r="620" spans="1:9" x14ac:dyDescent="0.3">
      <c r="A620">
        <v>793</v>
      </c>
      <c r="B620">
        <v>1341</v>
      </c>
      <c r="C620">
        <v>2024</v>
      </c>
      <c r="D620">
        <v>4</v>
      </c>
      <c r="E620">
        <v>7</v>
      </c>
      <c r="F620">
        <v>3</v>
      </c>
      <c r="G620">
        <v>30</v>
      </c>
      <c r="H620">
        <v>1</v>
      </c>
      <c r="I620">
        <v>7.8</v>
      </c>
    </row>
    <row r="621" spans="1:9" x14ac:dyDescent="0.3">
      <c r="A621">
        <v>796</v>
      </c>
      <c r="B621">
        <v>1342</v>
      </c>
      <c r="C621">
        <v>2024</v>
      </c>
      <c r="E621">
        <v>5</v>
      </c>
      <c r="F621">
        <v>7</v>
      </c>
      <c r="G621">
        <v>27</v>
      </c>
      <c r="H621">
        <v>5</v>
      </c>
      <c r="I621">
        <v>4.2</v>
      </c>
    </row>
    <row r="622" spans="1:9" x14ac:dyDescent="0.3">
      <c r="A622">
        <v>797</v>
      </c>
      <c r="B622">
        <v>1343</v>
      </c>
      <c r="C622">
        <v>2024</v>
      </c>
      <c r="D622">
        <v>3</v>
      </c>
      <c r="E622">
        <v>9</v>
      </c>
      <c r="F622">
        <v>8</v>
      </c>
      <c r="G622">
        <v>8</v>
      </c>
      <c r="H622">
        <v>9</v>
      </c>
      <c r="I622">
        <v>3.6</v>
      </c>
    </row>
    <row r="623" spans="1:9" x14ac:dyDescent="0.3">
      <c r="A623">
        <v>800</v>
      </c>
      <c r="B623">
        <v>1344</v>
      </c>
      <c r="C623">
        <v>2024</v>
      </c>
      <c r="D623">
        <v>3</v>
      </c>
      <c r="E623">
        <v>10</v>
      </c>
      <c r="F623">
        <v>5</v>
      </c>
      <c r="G623">
        <v>10</v>
      </c>
      <c r="H623">
        <v>4</v>
      </c>
      <c r="I623">
        <v>5.2</v>
      </c>
    </row>
    <row r="624" spans="1:9" x14ac:dyDescent="0.3">
      <c r="A624">
        <v>803</v>
      </c>
      <c r="B624">
        <v>1345</v>
      </c>
      <c r="C624">
        <v>2024</v>
      </c>
      <c r="D624">
        <v>4</v>
      </c>
      <c r="E624">
        <v>5</v>
      </c>
      <c r="F624">
        <v>5</v>
      </c>
      <c r="G624">
        <v>26</v>
      </c>
      <c r="H624">
        <v>6</v>
      </c>
      <c r="I624">
        <v>9.9</v>
      </c>
    </row>
    <row r="625" spans="1:9" x14ac:dyDescent="0.3">
      <c r="A625">
        <v>808</v>
      </c>
      <c r="B625">
        <v>1348</v>
      </c>
      <c r="C625">
        <v>2024</v>
      </c>
      <c r="D625">
        <v>4</v>
      </c>
      <c r="E625">
        <v>3</v>
      </c>
      <c r="F625">
        <v>8</v>
      </c>
      <c r="G625">
        <v>12</v>
      </c>
      <c r="H625">
        <v>6</v>
      </c>
      <c r="I625">
        <v>9.1</v>
      </c>
    </row>
    <row r="626" spans="1:9" x14ac:dyDescent="0.3">
      <c r="A626">
        <v>810</v>
      </c>
      <c r="B626">
        <v>1349</v>
      </c>
      <c r="C626">
        <v>2024</v>
      </c>
      <c r="D626">
        <v>3</v>
      </c>
      <c r="E626">
        <v>8</v>
      </c>
      <c r="F626">
        <v>6</v>
      </c>
      <c r="G626">
        <v>27</v>
      </c>
      <c r="H626">
        <v>7</v>
      </c>
      <c r="I626">
        <v>4.3</v>
      </c>
    </row>
    <row r="627" spans="1:9" x14ac:dyDescent="0.3">
      <c r="A627">
        <v>812</v>
      </c>
      <c r="B627">
        <v>1350</v>
      </c>
      <c r="C627">
        <v>2024</v>
      </c>
      <c r="D627">
        <v>4</v>
      </c>
      <c r="E627">
        <v>5</v>
      </c>
      <c r="F627">
        <v>15</v>
      </c>
      <c r="G627">
        <v>24</v>
      </c>
      <c r="H627">
        <v>6</v>
      </c>
      <c r="I627">
        <v>7.2</v>
      </c>
    </row>
    <row r="628" spans="1:9" x14ac:dyDescent="0.3">
      <c r="A628">
        <v>815</v>
      </c>
      <c r="B628">
        <v>1351</v>
      </c>
      <c r="C628">
        <v>2024</v>
      </c>
      <c r="D628">
        <v>3</v>
      </c>
      <c r="E628">
        <v>6</v>
      </c>
      <c r="F628">
        <v>7</v>
      </c>
      <c r="G628">
        <v>26</v>
      </c>
      <c r="H628">
        <v>4</v>
      </c>
      <c r="I628">
        <v>6</v>
      </c>
    </row>
    <row r="629" spans="1:9" x14ac:dyDescent="0.3">
      <c r="A629">
        <v>818</v>
      </c>
      <c r="B629">
        <v>1352</v>
      </c>
      <c r="C629">
        <v>2024</v>
      </c>
      <c r="D629">
        <v>4</v>
      </c>
      <c r="E629">
        <v>8</v>
      </c>
      <c r="F629">
        <v>0</v>
      </c>
      <c r="G629">
        <v>33</v>
      </c>
      <c r="H629">
        <v>7</v>
      </c>
      <c r="I629">
        <v>8.4</v>
      </c>
    </row>
    <row r="630" spans="1:9" x14ac:dyDescent="0.3">
      <c r="A630">
        <v>820</v>
      </c>
      <c r="B630">
        <v>1353</v>
      </c>
      <c r="C630">
        <v>2024</v>
      </c>
      <c r="D630">
        <v>5</v>
      </c>
      <c r="E630">
        <v>5</v>
      </c>
      <c r="F630">
        <v>6</v>
      </c>
      <c r="G630">
        <v>34</v>
      </c>
      <c r="H630">
        <v>7</v>
      </c>
      <c r="I630">
        <v>10.9</v>
      </c>
    </row>
    <row r="631" spans="1:9" x14ac:dyDescent="0.3">
      <c r="A631">
        <v>823</v>
      </c>
      <c r="B631">
        <v>1354</v>
      </c>
      <c r="C631">
        <v>2024</v>
      </c>
      <c r="D631">
        <v>3</v>
      </c>
      <c r="E631">
        <v>3</v>
      </c>
      <c r="F631">
        <v>1</v>
      </c>
      <c r="G631">
        <v>22</v>
      </c>
      <c r="H631">
        <v>9</v>
      </c>
      <c r="I631">
        <v>5.4</v>
      </c>
    </row>
    <row r="632" spans="1:9" x14ac:dyDescent="0.3">
      <c r="A632">
        <v>827</v>
      </c>
      <c r="B632">
        <v>1356</v>
      </c>
      <c r="C632">
        <v>2024</v>
      </c>
      <c r="D632">
        <v>4</v>
      </c>
      <c r="E632">
        <v>7</v>
      </c>
      <c r="F632">
        <v>15</v>
      </c>
      <c r="G632">
        <v>24</v>
      </c>
      <c r="H632">
        <v>3</v>
      </c>
      <c r="I632">
        <v>9</v>
      </c>
    </row>
    <row r="633" spans="1:9" x14ac:dyDescent="0.3">
      <c r="A633">
        <v>830</v>
      </c>
      <c r="B633">
        <v>1357</v>
      </c>
      <c r="C633">
        <v>2024</v>
      </c>
      <c r="D633">
        <v>4</v>
      </c>
      <c r="E633">
        <v>9</v>
      </c>
      <c r="F633">
        <v>7</v>
      </c>
      <c r="G633">
        <v>2</v>
      </c>
      <c r="H633">
        <v>2</v>
      </c>
      <c r="I633">
        <v>6.9</v>
      </c>
    </row>
    <row r="634" spans="1:9" x14ac:dyDescent="0.3">
      <c r="A634">
        <v>834</v>
      </c>
      <c r="B634">
        <v>1359</v>
      </c>
      <c r="C634">
        <v>2024</v>
      </c>
      <c r="D634">
        <v>2</v>
      </c>
      <c r="E634">
        <v>8</v>
      </c>
      <c r="F634">
        <v>2</v>
      </c>
      <c r="G634">
        <v>40</v>
      </c>
      <c r="H634">
        <v>3</v>
      </c>
      <c r="I634">
        <v>1.3</v>
      </c>
    </row>
    <row r="635" spans="1:9" x14ac:dyDescent="0.3">
      <c r="A635">
        <v>834</v>
      </c>
      <c r="B635">
        <v>1359</v>
      </c>
      <c r="C635">
        <v>2024</v>
      </c>
      <c r="D635">
        <v>2</v>
      </c>
      <c r="E635">
        <v>8</v>
      </c>
      <c r="F635">
        <v>2</v>
      </c>
      <c r="G635">
        <v>40</v>
      </c>
      <c r="H635">
        <v>3</v>
      </c>
      <c r="I635">
        <v>1.3</v>
      </c>
    </row>
    <row r="636" spans="1:9" x14ac:dyDescent="0.3">
      <c r="A636">
        <v>837</v>
      </c>
      <c r="B636">
        <v>1360</v>
      </c>
      <c r="C636">
        <v>2024</v>
      </c>
      <c r="D636">
        <v>3</v>
      </c>
      <c r="E636">
        <v>9</v>
      </c>
      <c r="F636">
        <v>9</v>
      </c>
      <c r="G636">
        <v>18</v>
      </c>
      <c r="H636">
        <v>8</v>
      </c>
      <c r="I636">
        <v>3.7</v>
      </c>
    </row>
    <row r="637" spans="1:9" x14ac:dyDescent="0.3">
      <c r="A637">
        <v>841</v>
      </c>
      <c r="B637">
        <v>1362</v>
      </c>
      <c r="C637">
        <v>2024</v>
      </c>
      <c r="D637">
        <v>4</v>
      </c>
      <c r="E637">
        <v>8</v>
      </c>
      <c r="F637">
        <v>11</v>
      </c>
      <c r="G637">
        <v>21</v>
      </c>
      <c r="H637">
        <v>6</v>
      </c>
      <c r="I637">
        <v>10.199999999999999</v>
      </c>
    </row>
    <row r="638" spans="1:9" x14ac:dyDescent="0.3">
      <c r="A638">
        <v>844</v>
      </c>
      <c r="B638">
        <v>1363</v>
      </c>
      <c r="C638">
        <v>2024</v>
      </c>
      <c r="D638">
        <v>4</v>
      </c>
      <c r="E638">
        <v>6</v>
      </c>
      <c r="F638">
        <v>1</v>
      </c>
      <c r="G638">
        <v>8</v>
      </c>
      <c r="H638">
        <v>2</v>
      </c>
      <c r="I638">
        <v>7.7</v>
      </c>
    </row>
    <row r="639" spans="1:9" x14ac:dyDescent="0.3">
      <c r="A639">
        <v>847</v>
      </c>
      <c r="B639">
        <v>1364</v>
      </c>
      <c r="C639">
        <v>2024</v>
      </c>
      <c r="D639">
        <v>3</v>
      </c>
      <c r="E639">
        <v>7</v>
      </c>
      <c r="F639">
        <v>12</v>
      </c>
      <c r="G639">
        <v>38</v>
      </c>
      <c r="H639">
        <v>1</v>
      </c>
      <c r="I639">
        <v>6</v>
      </c>
    </row>
    <row r="640" spans="1:9" x14ac:dyDescent="0.3">
      <c r="A640">
        <v>850</v>
      </c>
      <c r="B640">
        <v>1365</v>
      </c>
      <c r="C640">
        <v>2024</v>
      </c>
      <c r="D640">
        <v>4</v>
      </c>
      <c r="E640">
        <v>5</v>
      </c>
      <c r="F640">
        <v>0</v>
      </c>
      <c r="G640">
        <v>40</v>
      </c>
      <c r="H640">
        <v>2</v>
      </c>
      <c r="I640">
        <v>7.5</v>
      </c>
    </row>
    <row r="641" spans="1:9" x14ac:dyDescent="0.3">
      <c r="A641">
        <v>852</v>
      </c>
      <c r="B641">
        <v>1366</v>
      </c>
      <c r="C641">
        <v>2024</v>
      </c>
      <c r="D641">
        <v>4</v>
      </c>
      <c r="E641">
        <v>9</v>
      </c>
      <c r="F641">
        <v>0</v>
      </c>
      <c r="G641">
        <v>19</v>
      </c>
      <c r="H641">
        <v>5</v>
      </c>
      <c r="I641">
        <v>8.3000000000000007</v>
      </c>
    </row>
    <row r="642" spans="1:9" x14ac:dyDescent="0.3">
      <c r="A642">
        <v>855</v>
      </c>
      <c r="B642">
        <v>1367</v>
      </c>
      <c r="C642">
        <v>2024</v>
      </c>
      <c r="D642">
        <v>4</v>
      </c>
      <c r="E642">
        <v>9</v>
      </c>
      <c r="F642">
        <v>6</v>
      </c>
      <c r="G642">
        <v>8</v>
      </c>
      <c r="H642">
        <v>5</v>
      </c>
      <c r="I642">
        <v>8.1</v>
      </c>
    </row>
    <row r="643" spans="1:9" x14ac:dyDescent="0.3">
      <c r="A643">
        <v>858</v>
      </c>
      <c r="B643">
        <v>1368</v>
      </c>
      <c r="C643">
        <v>2024</v>
      </c>
      <c r="D643">
        <v>3</v>
      </c>
      <c r="E643">
        <v>8</v>
      </c>
      <c r="F643">
        <v>4</v>
      </c>
      <c r="G643">
        <v>31</v>
      </c>
      <c r="H643">
        <v>6</v>
      </c>
      <c r="I643">
        <v>5</v>
      </c>
    </row>
    <row r="644" spans="1:9" x14ac:dyDescent="0.3">
      <c r="A644">
        <v>862</v>
      </c>
      <c r="B644">
        <v>1370</v>
      </c>
      <c r="C644">
        <v>2024</v>
      </c>
      <c r="D644">
        <v>3</v>
      </c>
      <c r="E644">
        <v>7</v>
      </c>
      <c r="F644">
        <v>3</v>
      </c>
      <c r="G644">
        <v>33</v>
      </c>
      <c r="H644">
        <v>7</v>
      </c>
      <c r="I644">
        <v>5</v>
      </c>
    </row>
    <row r="645" spans="1:9" x14ac:dyDescent="0.3">
      <c r="A645">
        <v>864</v>
      </c>
      <c r="B645">
        <v>1371</v>
      </c>
      <c r="C645">
        <v>2024</v>
      </c>
      <c r="D645">
        <v>3</v>
      </c>
      <c r="E645">
        <v>9</v>
      </c>
      <c r="F645">
        <v>5</v>
      </c>
      <c r="G645">
        <v>25</v>
      </c>
      <c r="H645">
        <v>3</v>
      </c>
      <c r="I645">
        <v>4</v>
      </c>
    </row>
    <row r="646" spans="1:9" x14ac:dyDescent="0.3">
      <c r="A646">
        <v>869</v>
      </c>
      <c r="B646">
        <v>1374</v>
      </c>
      <c r="C646">
        <v>2024</v>
      </c>
      <c r="D646">
        <v>2</v>
      </c>
      <c r="E646">
        <v>9</v>
      </c>
      <c r="F646">
        <v>7</v>
      </c>
      <c r="G646">
        <v>26</v>
      </c>
      <c r="H646">
        <v>8</v>
      </c>
      <c r="I646">
        <v>0.6</v>
      </c>
    </row>
    <row r="647" spans="1:9" x14ac:dyDescent="0.3">
      <c r="A647">
        <v>871</v>
      </c>
      <c r="B647">
        <v>1375</v>
      </c>
      <c r="C647">
        <v>2024</v>
      </c>
      <c r="D647">
        <v>4</v>
      </c>
      <c r="E647">
        <v>5</v>
      </c>
      <c r="F647">
        <v>10</v>
      </c>
      <c r="G647">
        <v>38</v>
      </c>
      <c r="H647">
        <v>4</v>
      </c>
      <c r="I647">
        <v>7.2</v>
      </c>
    </row>
    <row r="648" spans="1:9" x14ac:dyDescent="0.3">
      <c r="A648">
        <v>874</v>
      </c>
      <c r="B648">
        <v>1376</v>
      </c>
      <c r="C648">
        <v>2024</v>
      </c>
      <c r="D648">
        <v>3</v>
      </c>
      <c r="E648">
        <v>8</v>
      </c>
      <c r="F648">
        <v>1</v>
      </c>
      <c r="G648">
        <v>30</v>
      </c>
      <c r="H648">
        <v>2</v>
      </c>
      <c r="I648">
        <v>5.3</v>
      </c>
    </row>
    <row r="649" spans="1:9" x14ac:dyDescent="0.3">
      <c r="A649">
        <v>876</v>
      </c>
      <c r="B649">
        <v>1377</v>
      </c>
      <c r="C649">
        <v>2024</v>
      </c>
      <c r="D649">
        <v>4</v>
      </c>
      <c r="E649">
        <v>2</v>
      </c>
      <c r="F649">
        <v>15</v>
      </c>
      <c r="G649">
        <v>25</v>
      </c>
      <c r="H649">
        <v>8</v>
      </c>
      <c r="I649">
        <v>8.5</v>
      </c>
    </row>
    <row r="650" spans="1:9" x14ac:dyDescent="0.3">
      <c r="A650">
        <v>879</v>
      </c>
      <c r="B650">
        <v>1378</v>
      </c>
      <c r="C650">
        <v>2024</v>
      </c>
      <c r="D650">
        <v>5</v>
      </c>
      <c r="E650">
        <v>9</v>
      </c>
      <c r="F650">
        <v>1</v>
      </c>
      <c r="G650">
        <v>32</v>
      </c>
      <c r="H650">
        <v>3</v>
      </c>
      <c r="I650">
        <v>10.199999999999999</v>
      </c>
    </row>
    <row r="651" spans="1:9" x14ac:dyDescent="0.3">
      <c r="A651">
        <v>882</v>
      </c>
      <c r="B651">
        <v>1379</v>
      </c>
      <c r="C651">
        <v>2024</v>
      </c>
      <c r="D651">
        <v>4</v>
      </c>
      <c r="E651">
        <v>7</v>
      </c>
      <c r="F651">
        <v>15</v>
      </c>
      <c r="G651">
        <v>24</v>
      </c>
      <c r="H651">
        <v>5</v>
      </c>
      <c r="I651">
        <v>7.9</v>
      </c>
    </row>
    <row r="652" spans="1:9" x14ac:dyDescent="0.3">
      <c r="A652">
        <v>885</v>
      </c>
      <c r="B652">
        <v>1380</v>
      </c>
      <c r="C652">
        <v>2024</v>
      </c>
      <c r="D652">
        <v>3</v>
      </c>
      <c r="E652">
        <v>8</v>
      </c>
      <c r="F652">
        <v>9</v>
      </c>
      <c r="G652">
        <v>39</v>
      </c>
      <c r="H652">
        <v>7</v>
      </c>
      <c r="I652">
        <v>3.9</v>
      </c>
    </row>
    <row r="653" spans="1:9" x14ac:dyDescent="0.3">
      <c r="A653">
        <v>888</v>
      </c>
      <c r="B653">
        <v>1381</v>
      </c>
      <c r="C653">
        <v>2024</v>
      </c>
      <c r="D653">
        <v>5</v>
      </c>
      <c r="E653">
        <v>8</v>
      </c>
      <c r="F653">
        <v>0</v>
      </c>
      <c r="G653">
        <v>31</v>
      </c>
      <c r="H653">
        <v>4</v>
      </c>
      <c r="I653">
        <v>12.6</v>
      </c>
    </row>
    <row r="654" spans="1:9" x14ac:dyDescent="0.3">
      <c r="A654">
        <v>890</v>
      </c>
      <c r="B654">
        <v>1382</v>
      </c>
      <c r="C654">
        <v>2024</v>
      </c>
      <c r="D654">
        <v>3</v>
      </c>
      <c r="E654">
        <v>7</v>
      </c>
      <c r="F654">
        <v>7</v>
      </c>
      <c r="G654">
        <v>24</v>
      </c>
      <c r="H654">
        <v>0</v>
      </c>
      <c r="I654">
        <v>3.7</v>
      </c>
    </row>
    <row r="655" spans="1:9" x14ac:dyDescent="0.3">
      <c r="A655">
        <v>893</v>
      </c>
      <c r="B655">
        <v>1383</v>
      </c>
      <c r="C655">
        <v>2024</v>
      </c>
      <c r="D655">
        <v>3</v>
      </c>
      <c r="E655">
        <v>1</v>
      </c>
      <c r="F655">
        <v>2</v>
      </c>
      <c r="G655">
        <v>52</v>
      </c>
      <c r="H655">
        <v>12</v>
      </c>
      <c r="I655">
        <v>4.0999999999999996</v>
      </c>
    </row>
    <row r="656" spans="1:9" x14ac:dyDescent="0.3">
      <c r="A656">
        <v>896</v>
      </c>
      <c r="B656">
        <v>1384</v>
      </c>
      <c r="C656">
        <v>2024</v>
      </c>
      <c r="D656">
        <v>4</v>
      </c>
      <c r="E656">
        <v>9</v>
      </c>
      <c r="F656">
        <v>0</v>
      </c>
      <c r="G656">
        <v>13</v>
      </c>
      <c r="H656">
        <v>5</v>
      </c>
      <c r="I656">
        <v>8.5</v>
      </c>
    </row>
    <row r="657" spans="1:9" x14ac:dyDescent="0.3">
      <c r="A657">
        <v>899</v>
      </c>
      <c r="B657">
        <v>1385</v>
      </c>
      <c r="C657">
        <v>2024</v>
      </c>
      <c r="D657">
        <v>4</v>
      </c>
      <c r="E657">
        <v>5</v>
      </c>
      <c r="F657">
        <v>11</v>
      </c>
      <c r="G657">
        <v>15</v>
      </c>
      <c r="H657">
        <v>3</v>
      </c>
      <c r="I657">
        <v>7.9</v>
      </c>
    </row>
    <row r="658" spans="1:9" x14ac:dyDescent="0.3">
      <c r="A658">
        <v>901</v>
      </c>
      <c r="B658">
        <v>1386</v>
      </c>
      <c r="C658">
        <v>2024</v>
      </c>
      <c r="D658">
        <v>3</v>
      </c>
      <c r="E658">
        <v>7</v>
      </c>
      <c r="F658">
        <v>10</v>
      </c>
      <c r="G658">
        <v>17</v>
      </c>
      <c r="H658">
        <v>4</v>
      </c>
      <c r="I658">
        <v>4</v>
      </c>
    </row>
    <row r="659" spans="1:9" x14ac:dyDescent="0.3">
      <c r="A659">
        <v>904</v>
      </c>
      <c r="B659">
        <v>1387</v>
      </c>
      <c r="C659">
        <v>2024</v>
      </c>
      <c r="E659">
        <v>10</v>
      </c>
      <c r="F659">
        <v>12</v>
      </c>
      <c r="G659">
        <v>34</v>
      </c>
      <c r="H659">
        <v>6</v>
      </c>
      <c r="I659">
        <v>8</v>
      </c>
    </row>
    <row r="660" spans="1:9" x14ac:dyDescent="0.3">
      <c r="A660">
        <v>907</v>
      </c>
      <c r="B660">
        <v>1388</v>
      </c>
      <c r="C660">
        <v>2024</v>
      </c>
      <c r="E660">
        <v>7</v>
      </c>
      <c r="F660">
        <v>19</v>
      </c>
      <c r="G660">
        <v>26</v>
      </c>
      <c r="H660">
        <v>4</v>
      </c>
      <c r="I660">
        <v>4.5</v>
      </c>
    </row>
    <row r="661" spans="1:9" x14ac:dyDescent="0.3">
      <c r="A661">
        <v>910</v>
      </c>
      <c r="B661">
        <v>1389</v>
      </c>
      <c r="C661">
        <v>2024</v>
      </c>
      <c r="D661">
        <v>3</v>
      </c>
      <c r="E661">
        <v>6</v>
      </c>
      <c r="F661">
        <v>4</v>
      </c>
      <c r="G661">
        <v>37</v>
      </c>
      <c r="H661">
        <v>7</v>
      </c>
      <c r="I661">
        <v>2.9</v>
      </c>
    </row>
    <row r="662" spans="1:9" x14ac:dyDescent="0.3">
      <c r="A662">
        <v>913</v>
      </c>
      <c r="B662">
        <v>1390</v>
      </c>
      <c r="C662">
        <v>2024</v>
      </c>
      <c r="D662">
        <v>2</v>
      </c>
      <c r="E662">
        <v>8</v>
      </c>
      <c r="F662">
        <v>8</v>
      </c>
      <c r="G662">
        <v>2</v>
      </c>
      <c r="H662">
        <v>5</v>
      </c>
      <c r="I662">
        <v>3.4</v>
      </c>
    </row>
    <row r="663" spans="1:9" x14ac:dyDescent="0.3">
      <c r="A663">
        <v>916</v>
      </c>
      <c r="B663">
        <v>1391</v>
      </c>
      <c r="C663">
        <v>2024</v>
      </c>
      <c r="D663">
        <v>3</v>
      </c>
      <c r="E663">
        <v>9</v>
      </c>
      <c r="F663">
        <v>7</v>
      </c>
      <c r="G663">
        <v>15</v>
      </c>
      <c r="H663">
        <v>3</v>
      </c>
      <c r="I663">
        <v>4.4000000000000004</v>
      </c>
    </row>
    <row r="664" spans="1:9" x14ac:dyDescent="0.3">
      <c r="A664">
        <v>919</v>
      </c>
      <c r="B664">
        <v>1392</v>
      </c>
      <c r="C664">
        <v>2024</v>
      </c>
      <c r="D664">
        <v>3</v>
      </c>
      <c r="E664">
        <v>7</v>
      </c>
      <c r="F664">
        <v>9</v>
      </c>
      <c r="G664">
        <v>25</v>
      </c>
      <c r="H664">
        <v>5</v>
      </c>
      <c r="I664">
        <v>5.9</v>
      </c>
    </row>
    <row r="665" spans="1:9" x14ac:dyDescent="0.3">
      <c r="A665">
        <v>922</v>
      </c>
      <c r="B665">
        <v>1393</v>
      </c>
      <c r="C665">
        <v>2024</v>
      </c>
      <c r="D665">
        <v>4</v>
      </c>
      <c r="E665">
        <v>5</v>
      </c>
      <c r="F665">
        <v>15</v>
      </c>
      <c r="G665">
        <v>30</v>
      </c>
      <c r="H665">
        <v>2</v>
      </c>
      <c r="I665">
        <v>8.4</v>
      </c>
    </row>
    <row r="666" spans="1:9" x14ac:dyDescent="0.3">
      <c r="A666">
        <v>925</v>
      </c>
      <c r="B666">
        <v>1394</v>
      </c>
      <c r="C666">
        <v>2024</v>
      </c>
      <c r="D666">
        <v>5</v>
      </c>
      <c r="E666">
        <v>6</v>
      </c>
      <c r="F666">
        <v>0</v>
      </c>
      <c r="G666">
        <v>29</v>
      </c>
      <c r="H666">
        <v>5</v>
      </c>
      <c r="I666">
        <v>10</v>
      </c>
    </row>
    <row r="667" spans="1:9" x14ac:dyDescent="0.3">
      <c r="A667">
        <v>928</v>
      </c>
      <c r="B667">
        <v>1395</v>
      </c>
      <c r="C667">
        <v>2024</v>
      </c>
      <c r="D667">
        <v>5</v>
      </c>
      <c r="E667">
        <v>6</v>
      </c>
      <c r="F667">
        <v>10</v>
      </c>
      <c r="G667">
        <v>51</v>
      </c>
      <c r="H667">
        <v>1</v>
      </c>
      <c r="I667">
        <v>12.3</v>
      </c>
    </row>
    <row r="668" spans="1:9" x14ac:dyDescent="0.3">
      <c r="A668">
        <v>930</v>
      </c>
      <c r="B668">
        <v>1396</v>
      </c>
      <c r="C668">
        <v>2024</v>
      </c>
      <c r="D668">
        <v>3</v>
      </c>
      <c r="E668">
        <v>7</v>
      </c>
      <c r="F668">
        <v>9</v>
      </c>
      <c r="G668">
        <v>24</v>
      </c>
      <c r="H668">
        <v>6</v>
      </c>
      <c r="I668">
        <v>6.7</v>
      </c>
    </row>
    <row r="669" spans="1:9" x14ac:dyDescent="0.3">
      <c r="A669">
        <v>933</v>
      </c>
      <c r="B669">
        <v>1397</v>
      </c>
      <c r="C669">
        <v>2024</v>
      </c>
      <c r="D669">
        <v>3</v>
      </c>
      <c r="E669">
        <v>7</v>
      </c>
      <c r="F669">
        <v>4</v>
      </c>
      <c r="G669">
        <v>8</v>
      </c>
      <c r="H669">
        <v>5</v>
      </c>
      <c r="I669">
        <v>6.6</v>
      </c>
    </row>
    <row r="670" spans="1:9" x14ac:dyDescent="0.3">
      <c r="A670">
        <v>936</v>
      </c>
      <c r="B670">
        <v>1398</v>
      </c>
      <c r="C670">
        <v>2024</v>
      </c>
      <c r="D670">
        <v>3</v>
      </c>
      <c r="E670">
        <v>6</v>
      </c>
      <c r="F670">
        <v>18</v>
      </c>
      <c r="G670">
        <v>20</v>
      </c>
      <c r="H670">
        <v>8</v>
      </c>
      <c r="I670">
        <v>4.3</v>
      </c>
    </row>
    <row r="671" spans="1:9" x14ac:dyDescent="0.3">
      <c r="A671">
        <v>939</v>
      </c>
      <c r="B671">
        <v>1399</v>
      </c>
      <c r="C671">
        <v>2024</v>
      </c>
      <c r="D671">
        <v>5</v>
      </c>
      <c r="E671">
        <v>6</v>
      </c>
      <c r="F671">
        <v>6</v>
      </c>
      <c r="G671">
        <v>17</v>
      </c>
      <c r="H671">
        <v>2</v>
      </c>
      <c r="I671">
        <v>13.1</v>
      </c>
    </row>
    <row r="672" spans="1:9" x14ac:dyDescent="0.3">
      <c r="A672">
        <v>942</v>
      </c>
      <c r="B672">
        <v>1400</v>
      </c>
      <c r="C672">
        <v>2024</v>
      </c>
      <c r="D672">
        <v>3</v>
      </c>
      <c r="E672">
        <v>5</v>
      </c>
      <c r="F672">
        <v>15</v>
      </c>
      <c r="G672">
        <v>13</v>
      </c>
      <c r="H672">
        <v>6</v>
      </c>
      <c r="I672">
        <v>5.3</v>
      </c>
    </row>
    <row r="673" spans="1:9" x14ac:dyDescent="0.3">
      <c r="A673">
        <v>945</v>
      </c>
      <c r="B673">
        <v>1401</v>
      </c>
      <c r="C673">
        <v>2024</v>
      </c>
      <c r="D673">
        <v>4</v>
      </c>
      <c r="E673">
        <v>3</v>
      </c>
      <c r="F673">
        <v>7</v>
      </c>
      <c r="G673">
        <v>2</v>
      </c>
      <c r="H673">
        <v>6</v>
      </c>
      <c r="I673">
        <v>8.8000000000000007</v>
      </c>
    </row>
    <row r="674" spans="1:9" x14ac:dyDescent="0.3">
      <c r="A674">
        <v>948</v>
      </c>
      <c r="B674">
        <v>1402</v>
      </c>
      <c r="C674">
        <v>2024</v>
      </c>
      <c r="D674">
        <v>3</v>
      </c>
      <c r="E674">
        <v>5</v>
      </c>
      <c r="F674">
        <v>17</v>
      </c>
      <c r="G674">
        <v>31</v>
      </c>
      <c r="H674">
        <v>2</v>
      </c>
      <c r="I674">
        <v>2.9</v>
      </c>
    </row>
    <row r="675" spans="1:9" x14ac:dyDescent="0.3">
      <c r="A675">
        <v>950</v>
      </c>
      <c r="B675">
        <v>1403</v>
      </c>
      <c r="C675">
        <v>2024</v>
      </c>
      <c r="D675">
        <v>3</v>
      </c>
      <c r="E675">
        <v>6</v>
      </c>
      <c r="F675">
        <v>0</v>
      </c>
      <c r="G675">
        <v>21</v>
      </c>
      <c r="H675">
        <v>1</v>
      </c>
      <c r="I675">
        <v>4.3</v>
      </c>
    </row>
    <row r="676" spans="1:9" x14ac:dyDescent="0.3">
      <c r="A676">
        <v>953</v>
      </c>
      <c r="B676">
        <v>1404</v>
      </c>
      <c r="C676">
        <v>2024</v>
      </c>
      <c r="D676">
        <v>4</v>
      </c>
      <c r="E676">
        <v>6</v>
      </c>
      <c r="F676">
        <v>0</v>
      </c>
      <c r="G676">
        <v>22</v>
      </c>
      <c r="H676">
        <v>5</v>
      </c>
      <c r="I676">
        <v>8.9</v>
      </c>
    </row>
    <row r="677" spans="1:9" x14ac:dyDescent="0.3">
      <c r="A677">
        <v>956</v>
      </c>
      <c r="B677">
        <v>1405</v>
      </c>
      <c r="C677">
        <v>2024</v>
      </c>
      <c r="D677">
        <v>3</v>
      </c>
      <c r="E677">
        <v>6</v>
      </c>
      <c r="F677">
        <v>9</v>
      </c>
      <c r="G677">
        <v>24</v>
      </c>
      <c r="H677">
        <v>4</v>
      </c>
      <c r="I677">
        <v>7.4</v>
      </c>
    </row>
    <row r="678" spans="1:9" x14ac:dyDescent="0.3">
      <c r="A678">
        <v>959</v>
      </c>
      <c r="B678">
        <v>1406</v>
      </c>
      <c r="C678">
        <v>2024</v>
      </c>
      <c r="D678">
        <v>3</v>
      </c>
      <c r="E678">
        <v>5</v>
      </c>
      <c r="F678">
        <v>6</v>
      </c>
      <c r="G678">
        <v>26</v>
      </c>
      <c r="H678">
        <v>12</v>
      </c>
      <c r="I678">
        <v>4.5</v>
      </c>
    </row>
    <row r="679" spans="1:9" x14ac:dyDescent="0.3">
      <c r="A679">
        <v>961</v>
      </c>
      <c r="B679">
        <v>1407</v>
      </c>
      <c r="C679">
        <v>2024</v>
      </c>
      <c r="D679">
        <v>3</v>
      </c>
      <c r="E679">
        <v>9</v>
      </c>
      <c r="F679">
        <v>1</v>
      </c>
      <c r="G679">
        <v>15</v>
      </c>
      <c r="H679">
        <v>3</v>
      </c>
      <c r="I679">
        <v>5.3</v>
      </c>
    </row>
    <row r="680" spans="1:9" x14ac:dyDescent="0.3">
      <c r="A680">
        <v>964</v>
      </c>
      <c r="B680">
        <v>1409</v>
      </c>
      <c r="C680">
        <v>2024</v>
      </c>
      <c r="D680">
        <v>4</v>
      </c>
      <c r="E680">
        <v>8</v>
      </c>
      <c r="F680">
        <v>0</v>
      </c>
      <c r="G680">
        <v>17</v>
      </c>
      <c r="H680">
        <v>3</v>
      </c>
      <c r="I680">
        <v>8.3000000000000007</v>
      </c>
    </row>
    <row r="681" spans="1:9" x14ac:dyDescent="0.3">
      <c r="A681">
        <v>967</v>
      </c>
      <c r="B681">
        <v>1410</v>
      </c>
      <c r="C681">
        <v>2024</v>
      </c>
      <c r="D681">
        <v>3</v>
      </c>
      <c r="E681">
        <v>10</v>
      </c>
      <c r="F681">
        <v>14</v>
      </c>
      <c r="G681">
        <v>25</v>
      </c>
      <c r="H681">
        <v>2</v>
      </c>
      <c r="I681">
        <v>5</v>
      </c>
    </row>
    <row r="682" spans="1:9" x14ac:dyDescent="0.3">
      <c r="A682">
        <v>970</v>
      </c>
      <c r="B682">
        <v>1411</v>
      </c>
      <c r="C682">
        <v>2024</v>
      </c>
      <c r="D682">
        <v>5</v>
      </c>
      <c r="E682">
        <v>3</v>
      </c>
      <c r="F682">
        <v>17</v>
      </c>
      <c r="G682">
        <v>14</v>
      </c>
      <c r="H682">
        <v>8</v>
      </c>
      <c r="I682">
        <v>12.3</v>
      </c>
    </row>
    <row r="683" spans="1:9" x14ac:dyDescent="0.3">
      <c r="A683">
        <v>973</v>
      </c>
      <c r="B683">
        <v>1412</v>
      </c>
      <c r="C683">
        <v>2024</v>
      </c>
      <c r="D683">
        <v>2</v>
      </c>
      <c r="E683">
        <v>8</v>
      </c>
      <c r="F683">
        <v>1</v>
      </c>
      <c r="G683">
        <v>13</v>
      </c>
      <c r="H683">
        <v>7</v>
      </c>
      <c r="I683">
        <v>3.4</v>
      </c>
    </row>
    <row r="684" spans="1:9" x14ac:dyDescent="0.3">
      <c r="A684">
        <v>976</v>
      </c>
      <c r="B684">
        <v>1413</v>
      </c>
      <c r="C684">
        <v>2024</v>
      </c>
      <c r="D684">
        <v>4</v>
      </c>
      <c r="E684">
        <v>6</v>
      </c>
      <c r="F684">
        <v>3</v>
      </c>
      <c r="G684">
        <v>45</v>
      </c>
      <c r="H684">
        <v>11</v>
      </c>
      <c r="I684">
        <v>8.3000000000000007</v>
      </c>
    </row>
    <row r="685" spans="1:9" x14ac:dyDescent="0.3">
      <c r="A685">
        <v>979</v>
      </c>
      <c r="B685">
        <v>1414</v>
      </c>
      <c r="C685">
        <v>2024</v>
      </c>
      <c r="D685">
        <v>2</v>
      </c>
      <c r="E685">
        <v>5</v>
      </c>
      <c r="F685">
        <v>16</v>
      </c>
      <c r="G685">
        <v>32</v>
      </c>
      <c r="H685">
        <v>5</v>
      </c>
      <c r="I685">
        <v>3</v>
      </c>
    </row>
    <row r="686" spans="1:9" x14ac:dyDescent="0.3">
      <c r="A686">
        <v>982</v>
      </c>
      <c r="B686">
        <v>1415</v>
      </c>
      <c r="C686">
        <v>2024</v>
      </c>
      <c r="D686">
        <v>3</v>
      </c>
      <c r="E686">
        <v>3</v>
      </c>
      <c r="F686">
        <v>0</v>
      </c>
      <c r="G686">
        <v>30</v>
      </c>
      <c r="H686">
        <v>8</v>
      </c>
      <c r="I686">
        <v>4.0999999999999996</v>
      </c>
    </row>
    <row r="687" spans="1:9" x14ac:dyDescent="0.3">
      <c r="A687">
        <v>985</v>
      </c>
      <c r="B687">
        <v>1416</v>
      </c>
      <c r="C687">
        <v>2024</v>
      </c>
      <c r="D687">
        <v>3</v>
      </c>
      <c r="E687">
        <v>5</v>
      </c>
      <c r="F687">
        <v>0</v>
      </c>
      <c r="G687">
        <v>16</v>
      </c>
      <c r="H687">
        <v>4</v>
      </c>
      <c r="I687">
        <v>4.3</v>
      </c>
    </row>
    <row r="688" spans="1:9" x14ac:dyDescent="0.3">
      <c r="A688">
        <v>989</v>
      </c>
      <c r="B688">
        <v>1418</v>
      </c>
      <c r="C688">
        <v>2024</v>
      </c>
      <c r="D688">
        <v>3</v>
      </c>
      <c r="E688">
        <v>5</v>
      </c>
      <c r="F688">
        <v>11</v>
      </c>
      <c r="G688">
        <v>5</v>
      </c>
      <c r="H688">
        <v>8</v>
      </c>
      <c r="I688">
        <v>3.5</v>
      </c>
    </row>
    <row r="689" spans="1:9" x14ac:dyDescent="0.3">
      <c r="A689">
        <v>992</v>
      </c>
      <c r="B689">
        <v>1419</v>
      </c>
      <c r="C689">
        <v>2024</v>
      </c>
      <c r="D689">
        <v>3</v>
      </c>
      <c r="E689">
        <v>5</v>
      </c>
      <c r="F689">
        <v>8</v>
      </c>
      <c r="G689">
        <v>27</v>
      </c>
      <c r="H689">
        <v>1</v>
      </c>
      <c r="I689">
        <v>4.4000000000000004</v>
      </c>
    </row>
    <row r="690" spans="1:9" x14ac:dyDescent="0.3">
      <c r="A690">
        <v>995</v>
      </c>
      <c r="B690">
        <v>1420</v>
      </c>
      <c r="C690">
        <v>2024</v>
      </c>
      <c r="D690">
        <v>4</v>
      </c>
      <c r="E690">
        <v>7</v>
      </c>
      <c r="F690">
        <v>10</v>
      </c>
      <c r="G690">
        <v>3</v>
      </c>
      <c r="H690">
        <v>4</v>
      </c>
      <c r="I690">
        <v>8.8000000000000007</v>
      </c>
    </row>
    <row r="691" spans="1:9" x14ac:dyDescent="0.3">
      <c r="A691">
        <v>998</v>
      </c>
      <c r="B691">
        <v>1421</v>
      </c>
      <c r="C691">
        <v>2024</v>
      </c>
      <c r="D691">
        <v>3</v>
      </c>
      <c r="E691">
        <v>6</v>
      </c>
      <c r="F691">
        <v>13</v>
      </c>
      <c r="G691">
        <v>18</v>
      </c>
      <c r="H691">
        <v>1</v>
      </c>
      <c r="I691">
        <v>7.6</v>
      </c>
    </row>
    <row r="692" spans="1:9" x14ac:dyDescent="0.3">
      <c r="A692">
        <v>1002</v>
      </c>
      <c r="B692">
        <v>1424</v>
      </c>
      <c r="C692">
        <v>2024</v>
      </c>
      <c r="D692">
        <v>5</v>
      </c>
      <c r="E692">
        <v>10</v>
      </c>
      <c r="F692">
        <v>7</v>
      </c>
      <c r="G692">
        <v>28</v>
      </c>
      <c r="H692">
        <v>3</v>
      </c>
      <c r="I692">
        <v>10.3</v>
      </c>
    </row>
    <row r="693" spans="1:9" x14ac:dyDescent="0.3">
      <c r="A693">
        <v>1005</v>
      </c>
      <c r="B693">
        <v>1427</v>
      </c>
      <c r="C693">
        <v>2024</v>
      </c>
      <c r="D693">
        <v>3</v>
      </c>
      <c r="E693">
        <v>7</v>
      </c>
      <c r="F693">
        <v>16</v>
      </c>
      <c r="G693">
        <v>28</v>
      </c>
      <c r="H693">
        <v>2</v>
      </c>
      <c r="I693">
        <v>5.7</v>
      </c>
    </row>
    <row r="694" spans="1:9" x14ac:dyDescent="0.3">
      <c r="A694">
        <v>1008</v>
      </c>
      <c r="B694">
        <v>1429</v>
      </c>
      <c r="C694">
        <v>2024</v>
      </c>
      <c r="D694">
        <v>3</v>
      </c>
      <c r="E694">
        <v>6</v>
      </c>
      <c r="F694">
        <v>21</v>
      </c>
      <c r="G694">
        <v>32</v>
      </c>
      <c r="H694">
        <v>3</v>
      </c>
      <c r="I694">
        <v>4.4000000000000004</v>
      </c>
    </row>
    <row r="695" spans="1:9" x14ac:dyDescent="0.3">
      <c r="A695">
        <v>1011</v>
      </c>
      <c r="B695">
        <v>1430</v>
      </c>
      <c r="C695">
        <v>2024</v>
      </c>
      <c r="D695">
        <v>3</v>
      </c>
      <c r="E695">
        <v>8</v>
      </c>
      <c r="F695">
        <v>16</v>
      </c>
      <c r="G695">
        <v>28</v>
      </c>
      <c r="H695">
        <v>4</v>
      </c>
      <c r="I695">
        <v>3.8</v>
      </c>
    </row>
    <row r="696" spans="1:9" x14ac:dyDescent="0.3">
      <c r="A696">
        <v>1014</v>
      </c>
      <c r="B696">
        <v>1431</v>
      </c>
      <c r="C696">
        <v>2024</v>
      </c>
      <c r="D696">
        <v>4</v>
      </c>
      <c r="E696">
        <v>5</v>
      </c>
      <c r="F696">
        <v>6</v>
      </c>
      <c r="G696">
        <v>29</v>
      </c>
      <c r="H696">
        <v>3</v>
      </c>
      <c r="I696">
        <v>7.9</v>
      </c>
    </row>
    <row r="697" spans="1:9" x14ac:dyDescent="0.3">
      <c r="A697">
        <v>1017</v>
      </c>
      <c r="B697">
        <v>1432</v>
      </c>
      <c r="C697">
        <v>2024</v>
      </c>
      <c r="D697">
        <v>4</v>
      </c>
      <c r="E697">
        <v>5</v>
      </c>
      <c r="F697">
        <v>8</v>
      </c>
      <c r="G697">
        <v>31</v>
      </c>
      <c r="H697">
        <v>5</v>
      </c>
      <c r="I697">
        <v>9.1</v>
      </c>
    </row>
    <row r="698" spans="1:9" x14ac:dyDescent="0.3">
      <c r="A698">
        <v>1021</v>
      </c>
      <c r="B698">
        <v>1434</v>
      </c>
      <c r="C698">
        <v>2024</v>
      </c>
      <c r="D698">
        <v>4</v>
      </c>
      <c r="E698">
        <v>5</v>
      </c>
      <c r="F698">
        <v>6</v>
      </c>
      <c r="G698">
        <v>11</v>
      </c>
      <c r="H698">
        <v>7</v>
      </c>
      <c r="I698">
        <v>8.9</v>
      </c>
    </row>
    <row r="699" spans="1:9" x14ac:dyDescent="0.3">
      <c r="A699">
        <v>1023</v>
      </c>
      <c r="B699">
        <v>1435</v>
      </c>
      <c r="C699">
        <v>2024</v>
      </c>
      <c r="D699">
        <v>4</v>
      </c>
      <c r="E699">
        <v>7</v>
      </c>
      <c r="F699">
        <v>6</v>
      </c>
      <c r="G699">
        <v>11</v>
      </c>
      <c r="H699">
        <v>4</v>
      </c>
      <c r="I699">
        <v>8.6999999999999993</v>
      </c>
    </row>
    <row r="700" spans="1:9" x14ac:dyDescent="0.3">
      <c r="A700">
        <v>1026</v>
      </c>
      <c r="B700">
        <v>1437</v>
      </c>
      <c r="C700">
        <v>2024</v>
      </c>
      <c r="D700">
        <v>5</v>
      </c>
      <c r="E700">
        <v>10</v>
      </c>
      <c r="F700">
        <v>3</v>
      </c>
      <c r="G700">
        <v>33</v>
      </c>
      <c r="H700">
        <v>2</v>
      </c>
      <c r="I700">
        <v>13.4</v>
      </c>
    </row>
    <row r="701" spans="1:9" x14ac:dyDescent="0.3">
      <c r="A701">
        <v>1029</v>
      </c>
      <c r="B701">
        <v>1438</v>
      </c>
      <c r="C701">
        <v>2024</v>
      </c>
      <c r="D701">
        <v>4</v>
      </c>
      <c r="E701">
        <v>8</v>
      </c>
      <c r="F701">
        <v>12</v>
      </c>
      <c r="G701">
        <v>23</v>
      </c>
      <c r="H701">
        <v>1</v>
      </c>
      <c r="I701">
        <v>8.3000000000000007</v>
      </c>
    </row>
    <row r="702" spans="1:9" x14ac:dyDescent="0.3">
      <c r="A702">
        <v>1032</v>
      </c>
      <c r="B702">
        <v>1439</v>
      </c>
      <c r="C702">
        <v>2024</v>
      </c>
      <c r="D702">
        <v>4</v>
      </c>
      <c r="E702">
        <v>7</v>
      </c>
      <c r="F702">
        <v>22</v>
      </c>
      <c r="G702">
        <v>15</v>
      </c>
      <c r="H702">
        <v>7</v>
      </c>
      <c r="I702">
        <v>9.4</v>
      </c>
    </row>
    <row r="703" spans="1:9" x14ac:dyDescent="0.3">
      <c r="A703">
        <v>1035</v>
      </c>
      <c r="B703">
        <v>1440</v>
      </c>
      <c r="C703">
        <v>2024</v>
      </c>
      <c r="D703">
        <v>4</v>
      </c>
      <c r="E703">
        <v>8</v>
      </c>
      <c r="F703">
        <v>10</v>
      </c>
      <c r="G703">
        <v>17</v>
      </c>
      <c r="H703">
        <v>1</v>
      </c>
      <c r="I703">
        <v>8.1</v>
      </c>
    </row>
    <row r="704" spans="1:9" x14ac:dyDescent="0.3">
      <c r="A704">
        <v>1038</v>
      </c>
      <c r="B704">
        <v>1441</v>
      </c>
      <c r="C704">
        <v>2024</v>
      </c>
      <c r="D704">
        <v>3</v>
      </c>
      <c r="F704">
        <v>0</v>
      </c>
      <c r="G704">
        <v>21</v>
      </c>
      <c r="H704">
        <v>2</v>
      </c>
      <c r="I704">
        <v>6.7</v>
      </c>
    </row>
    <row r="705" spans="1:9" x14ac:dyDescent="0.3">
      <c r="A705">
        <v>1040</v>
      </c>
      <c r="B705">
        <v>1442</v>
      </c>
      <c r="C705">
        <v>2024</v>
      </c>
      <c r="D705">
        <v>4</v>
      </c>
      <c r="E705">
        <v>6</v>
      </c>
      <c r="F705">
        <v>6</v>
      </c>
      <c r="G705">
        <v>41</v>
      </c>
      <c r="H705">
        <v>2</v>
      </c>
      <c r="I705">
        <v>7.8</v>
      </c>
    </row>
    <row r="706" spans="1:9" x14ac:dyDescent="0.3">
      <c r="A706">
        <v>1043</v>
      </c>
      <c r="B706">
        <v>1443</v>
      </c>
      <c r="C706">
        <v>2024</v>
      </c>
      <c r="D706">
        <v>3</v>
      </c>
      <c r="E706">
        <v>3</v>
      </c>
      <c r="F706">
        <v>4</v>
      </c>
      <c r="G706">
        <v>18</v>
      </c>
      <c r="H706">
        <v>5</v>
      </c>
      <c r="I706">
        <v>5.4</v>
      </c>
    </row>
    <row r="707" spans="1:9" x14ac:dyDescent="0.3">
      <c r="A707">
        <v>1045</v>
      </c>
      <c r="B707">
        <v>1444</v>
      </c>
      <c r="C707">
        <v>2024</v>
      </c>
      <c r="D707">
        <v>3</v>
      </c>
      <c r="E707">
        <v>6</v>
      </c>
      <c r="F707">
        <v>13</v>
      </c>
      <c r="G707">
        <v>0</v>
      </c>
      <c r="H707">
        <v>5</v>
      </c>
      <c r="I707">
        <v>5.2</v>
      </c>
    </row>
    <row r="708" spans="1:9" x14ac:dyDescent="0.3">
      <c r="A708">
        <v>1048</v>
      </c>
      <c r="B708">
        <v>1445</v>
      </c>
      <c r="C708">
        <v>2024</v>
      </c>
      <c r="D708">
        <v>2</v>
      </c>
      <c r="E708">
        <v>5</v>
      </c>
      <c r="F708">
        <v>13</v>
      </c>
      <c r="G708">
        <v>22</v>
      </c>
      <c r="H708">
        <v>3</v>
      </c>
      <c r="I708">
        <v>1.6</v>
      </c>
    </row>
    <row r="709" spans="1:9" x14ac:dyDescent="0.3">
      <c r="A709">
        <v>1050</v>
      </c>
      <c r="B709">
        <v>1446</v>
      </c>
      <c r="C709">
        <v>2024</v>
      </c>
      <c r="D709">
        <v>4</v>
      </c>
      <c r="E709">
        <v>8</v>
      </c>
      <c r="F709">
        <v>2</v>
      </c>
      <c r="G709">
        <v>23</v>
      </c>
      <c r="H709">
        <v>2</v>
      </c>
      <c r="I709">
        <v>8.6</v>
      </c>
    </row>
    <row r="710" spans="1:9" x14ac:dyDescent="0.3">
      <c r="A710">
        <v>1053</v>
      </c>
      <c r="B710">
        <v>1447</v>
      </c>
      <c r="C710">
        <v>2024</v>
      </c>
      <c r="D710">
        <v>3</v>
      </c>
      <c r="E710">
        <v>4</v>
      </c>
      <c r="F710">
        <v>6</v>
      </c>
      <c r="G710">
        <v>40</v>
      </c>
      <c r="H710">
        <v>7</v>
      </c>
      <c r="I710">
        <v>5.9</v>
      </c>
    </row>
    <row r="711" spans="1:9" x14ac:dyDescent="0.3">
      <c r="A711">
        <v>1056</v>
      </c>
      <c r="B711">
        <v>1448</v>
      </c>
      <c r="C711">
        <v>2024</v>
      </c>
      <c r="D711">
        <v>4</v>
      </c>
      <c r="E711">
        <v>9</v>
      </c>
      <c r="F711">
        <v>520</v>
      </c>
      <c r="G711">
        <v>8</v>
      </c>
      <c r="H711">
        <v>0</v>
      </c>
      <c r="I711">
        <v>8.5</v>
      </c>
    </row>
    <row r="712" spans="1:9" x14ac:dyDescent="0.3">
      <c r="A712">
        <v>1058</v>
      </c>
      <c r="B712">
        <v>1449</v>
      </c>
      <c r="C712">
        <v>2024</v>
      </c>
      <c r="D712">
        <v>4</v>
      </c>
      <c r="E712">
        <v>4</v>
      </c>
      <c r="F712">
        <v>14</v>
      </c>
      <c r="G712">
        <v>32</v>
      </c>
      <c r="H712">
        <v>5</v>
      </c>
      <c r="I712">
        <v>6</v>
      </c>
    </row>
    <row r="713" spans="1:9" x14ac:dyDescent="0.3">
      <c r="A713">
        <v>1061</v>
      </c>
      <c r="B713">
        <v>1450</v>
      </c>
      <c r="C713">
        <v>2024</v>
      </c>
      <c r="D713">
        <v>3</v>
      </c>
      <c r="E713">
        <v>5</v>
      </c>
      <c r="F713">
        <v>13</v>
      </c>
      <c r="G713">
        <v>13</v>
      </c>
      <c r="H713">
        <v>6</v>
      </c>
      <c r="I713">
        <v>5.2</v>
      </c>
    </row>
    <row r="714" spans="1:9" x14ac:dyDescent="0.3">
      <c r="A714">
        <v>1064</v>
      </c>
      <c r="B714">
        <v>1451</v>
      </c>
      <c r="C714">
        <v>2024</v>
      </c>
      <c r="D714">
        <v>3</v>
      </c>
      <c r="E714">
        <v>6</v>
      </c>
      <c r="F714">
        <v>2</v>
      </c>
      <c r="G714">
        <v>30</v>
      </c>
      <c r="H714">
        <v>9</v>
      </c>
      <c r="I714">
        <v>6.3</v>
      </c>
    </row>
    <row r="715" spans="1:9" x14ac:dyDescent="0.3">
      <c r="A715">
        <v>1067</v>
      </c>
      <c r="B715">
        <v>1452</v>
      </c>
      <c r="C715">
        <v>2024</v>
      </c>
      <c r="D715">
        <v>4</v>
      </c>
      <c r="E715">
        <v>6</v>
      </c>
      <c r="F715">
        <v>15</v>
      </c>
      <c r="G715">
        <v>14</v>
      </c>
      <c r="H715">
        <v>6</v>
      </c>
      <c r="I715">
        <v>8.4</v>
      </c>
    </row>
    <row r="716" spans="1:9" x14ac:dyDescent="0.3">
      <c r="A716">
        <v>1070</v>
      </c>
      <c r="B716">
        <v>1453</v>
      </c>
      <c r="C716">
        <v>2024</v>
      </c>
      <c r="D716">
        <v>3</v>
      </c>
      <c r="E716">
        <v>5</v>
      </c>
      <c r="F716">
        <v>0</v>
      </c>
      <c r="G716">
        <v>35</v>
      </c>
      <c r="H716">
        <v>5</v>
      </c>
      <c r="I716">
        <v>5</v>
      </c>
    </row>
    <row r="717" spans="1:9" x14ac:dyDescent="0.3">
      <c r="A717">
        <v>1072</v>
      </c>
      <c r="B717">
        <v>1454</v>
      </c>
      <c r="C717">
        <v>2024</v>
      </c>
      <c r="D717">
        <v>35</v>
      </c>
      <c r="F717">
        <v>11</v>
      </c>
      <c r="G717">
        <v>29</v>
      </c>
      <c r="H717">
        <v>6</v>
      </c>
      <c r="I717">
        <v>5.8</v>
      </c>
    </row>
    <row r="718" spans="1:9" x14ac:dyDescent="0.3">
      <c r="A718">
        <v>1075</v>
      </c>
      <c r="B718">
        <v>1455</v>
      </c>
      <c r="C718">
        <v>2024</v>
      </c>
      <c r="D718">
        <v>4</v>
      </c>
      <c r="E718">
        <v>4</v>
      </c>
      <c r="F718">
        <v>8</v>
      </c>
      <c r="G718">
        <v>21</v>
      </c>
      <c r="H718">
        <v>8</v>
      </c>
      <c r="I718">
        <v>6.6</v>
      </c>
    </row>
    <row r="719" spans="1:9" x14ac:dyDescent="0.3">
      <c r="A719">
        <v>1077</v>
      </c>
      <c r="B719">
        <v>1456</v>
      </c>
      <c r="C719">
        <v>2024</v>
      </c>
      <c r="D719">
        <v>3</v>
      </c>
      <c r="E719">
        <v>6</v>
      </c>
      <c r="F719">
        <v>2</v>
      </c>
      <c r="G719">
        <v>31</v>
      </c>
      <c r="H719">
        <v>5</v>
      </c>
      <c r="I719">
        <v>6.1</v>
      </c>
    </row>
    <row r="720" spans="1:9" x14ac:dyDescent="0.3">
      <c r="A720">
        <v>1081</v>
      </c>
      <c r="B720">
        <v>1458</v>
      </c>
      <c r="C720">
        <v>2024</v>
      </c>
      <c r="D720">
        <v>4</v>
      </c>
      <c r="E720">
        <v>5</v>
      </c>
      <c r="F720">
        <v>9</v>
      </c>
      <c r="G720">
        <v>22</v>
      </c>
      <c r="H720">
        <v>5</v>
      </c>
      <c r="I720">
        <v>9</v>
      </c>
    </row>
    <row r="721" spans="1:9" x14ac:dyDescent="0.3">
      <c r="A721">
        <v>1084</v>
      </c>
      <c r="B721">
        <v>1459</v>
      </c>
      <c r="C721">
        <v>2024</v>
      </c>
      <c r="D721">
        <v>3</v>
      </c>
      <c r="E721">
        <v>6</v>
      </c>
      <c r="F721">
        <v>11</v>
      </c>
      <c r="G721">
        <v>28</v>
      </c>
      <c r="H721">
        <v>10</v>
      </c>
      <c r="I721">
        <v>5.0999999999999996</v>
      </c>
    </row>
    <row r="722" spans="1:9" x14ac:dyDescent="0.3">
      <c r="A722">
        <v>1086</v>
      </c>
      <c r="B722">
        <v>1460</v>
      </c>
      <c r="C722">
        <v>2024</v>
      </c>
      <c r="D722">
        <v>4</v>
      </c>
      <c r="E722">
        <v>7</v>
      </c>
      <c r="F722">
        <v>5</v>
      </c>
      <c r="G722">
        <v>28</v>
      </c>
      <c r="H722">
        <v>1</v>
      </c>
      <c r="I722">
        <v>8.9</v>
      </c>
    </row>
    <row r="723" spans="1:9" x14ac:dyDescent="0.3">
      <c r="A723">
        <v>1089</v>
      </c>
      <c r="B723">
        <v>1461</v>
      </c>
      <c r="C723">
        <v>2024</v>
      </c>
      <c r="D723">
        <v>4</v>
      </c>
      <c r="F723">
        <v>14</v>
      </c>
      <c r="G723">
        <v>14</v>
      </c>
      <c r="H723">
        <v>2</v>
      </c>
      <c r="I723">
        <v>8.4</v>
      </c>
    </row>
    <row r="724" spans="1:9" x14ac:dyDescent="0.3">
      <c r="A724">
        <v>1092</v>
      </c>
      <c r="B724">
        <v>1462</v>
      </c>
      <c r="C724">
        <v>2024</v>
      </c>
      <c r="D724">
        <v>3</v>
      </c>
      <c r="E724">
        <v>7</v>
      </c>
      <c r="F724">
        <v>0</v>
      </c>
      <c r="G724">
        <v>20</v>
      </c>
      <c r="H724">
        <v>3</v>
      </c>
      <c r="I724">
        <v>3.3</v>
      </c>
    </row>
    <row r="725" spans="1:9" x14ac:dyDescent="0.3">
      <c r="A725">
        <v>1095</v>
      </c>
      <c r="B725">
        <v>1463</v>
      </c>
      <c r="C725">
        <v>2024</v>
      </c>
      <c r="D725">
        <v>4</v>
      </c>
      <c r="E725">
        <v>9</v>
      </c>
      <c r="F725">
        <v>7</v>
      </c>
      <c r="G725">
        <v>33</v>
      </c>
      <c r="H725">
        <v>2</v>
      </c>
      <c r="I725">
        <v>7.3</v>
      </c>
    </row>
    <row r="726" spans="1:9" x14ac:dyDescent="0.3">
      <c r="A726">
        <v>1098</v>
      </c>
      <c r="B726">
        <v>1464</v>
      </c>
      <c r="C726">
        <v>2024</v>
      </c>
      <c r="D726">
        <v>3</v>
      </c>
      <c r="E726">
        <v>8</v>
      </c>
      <c r="F726">
        <v>1</v>
      </c>
      <c r="G726">
        <v>17</v>
      </c>
      <c r="H726">
        <v>3</v>
      </c>
      <c r="I726">
        <v>1.9</v>
      </c>
    </row>
    <row r="727" spans="1:9" x14ac:dyDescent="0.3">
      <c r="A727">
        <v>1101</v>
      </c>
      <c r="B727">
        <v>1465</v>
      </c>
      <c r="C727">
        <v>2024</v>
      </c>
      <c r="D727">
        <v>2</v>
      </c>
      <c r="E727">
        <v>7</v>
      </c>
      <c r="F727">
        <v>21</v>
      </c>
      <c r="G727">
        <v>37</v>
      </c>
      <c r="H727">
        <v>3</v>
      </c>
      <c r="I727">
        <v>2.2999999999999998</v>
      </c>
    </row>
    <row r="728" spans="1:9" x14ac:dyDescent="0.3">
      <c r="A728">
        <v>1104</v>
      </c>
      <c r="B728">
        <v>1466</v>
      </c>
      <c r="C728">
        <v>2024</v>
      </c>
      <c r="D728">
        <v>5</v>
      </c>
      <c r="E728">
        <v>7</v>
      </c>
      <c r="F728">
        <v>7</v>
      </c>
      <c r="G728">
        <v>41</v>
      </c>
      <c r="H728">
        <v>6</v>
      </c>
      <c r="I728">
        <v>12.2</v>
      </c>
    </row>
    <row r="729" spans="1:9" x14ac:dyDescent="0.3">
      <c r="A729">
        <v>1108</v>
      </c>
      <c r="B729">
        <v>1469</v>
      </c>
      <c r="C729">
        <v>2024</v>
      </c>
      <c r="D729">
        <v>4</v>
      </c>
      <c r="E729">
        <v>3</v>
      </c>
      <c r="F729">
        <v>2</v>
      </c>
      <c r="G729">
        <v>6</v>
      </c>
      <c r="H729">
        <v>7</v>
      </c>
      <c r="I729">
        <v>9.6999999999999993</v>
      </c>
    </row>
    <row r="730" spans="1:9" x14ac:dyDescent="0.3">
      <c r="A730">
        <v>1111</v>
      </c>
      <c r="B730">
        <v>1470</v>
      </c>
      <c r="C730">
        <v>2024</v>
      </c>
      <c r="E730">
        <v>7</v>
      </c>
      <c r="F730">
        <v>5</v>
      </c>
      <c r="G730">
        <v>23</v>
      </c>
      <c r="H730">
        <v>4</v>
      </c>
      <c r="I730">
        <v>5</v>
      </c>
    </row>
    <row r="731" spans="1:9" x14ac:dyDescent="0.3">
      <c r="A731">
        <v>1114</v>
      </c>
      <c r="B731">
        <v>1471</v>
      </c>
      <c r="C731">
        <v>2024</v>
      </c>
      <c r="D731">
        <v>3</v>
      </c>
      <c r="E731">
        <v>5</v>
      </c>
      <c r="F731">
        <v>6</v>
      </c>
      <c r="G731">
        <v>21</v>
      </c>
      <c r="H731">
        <v>2</v>
      </c>
      <c r="I731">
        <v>5.3</v>
      </c>
    </row>
    <row r="732" spans="1:9" x14ac:dyDescent="0.3">
      <c r="A732">
        <v>1117</v>
      </c>
      <c r="B732">
        <v>1472</v>
      </c>
      <c r="C732">
        <v>2024</v>
      </c>
      <c r="D732">
        <v>2</v>
      </c>
      <c r="F732">
        <v>9</v>
      </c>
      <c r="G732">
        <v>17</v>
      </c>
      <c r="H732">
        <v>1</v>
      </c>
      <c r="I732">
        <v>1.8</v>
      </c>
    </row>
    <row r="733" spans="1:9" x14ac:dyDescent="0.3">
      <c r="A733">
        <v>1120</v>
      </c>
      <c r="B733">
        <v>1473</v>
      </c>
      <c r="C733">
        <v>2024</v>
      </c>
      <c r="D733">
        <v>3</v>
      </c>
      <c r="E733">
        <v>7</v>
      </c>
      <c r="F733">
        <v>21</v>
      </c>
      <c r="G733">
        <v>31</v>
      </c>
      <c r="H733">
        <v>1</v>
      </c>
      <c r="I733">
        <v>3.9</v>
      </c>
    </row>
    <row r="734" spans="1:9" x14ac:dyDescent="0.3">
      <c r="A734">
        <v>1122</v>
      </c>
      <c r="B734">
        <v>1474</v>
      </c>
      <c r="C734">
        <v>2024</v>
      </c>
      <c r="D734">
        <v>4</v>
      </c>
      <c r="E734">
        <v>7</v>
      </c>
      <c r="F734">
        <v>8</v>
      </c>
      <c r="G734">
        <v>26</v>
      </c>
      <c r="H734">
        <v>3</v>
      </c>
      <c r="I734">
        <v>6.9</v>
      </c>
    </row>
    <row r="735" spans="1:9" x14ac:dyDescent="0.3">
      <c r="A735">
        <v>1125</v>
      </c>
      <c r="B735">
        <v>1475</v>
      </c>
      <c r="C735">
        <v>2024</v>
      </c>
      <c r="D735">
        <v>4</v>
      </c>
      <c r="E735">
        <v>6</v>
      </c>
      <c r="F735">
        <v>11</v>
      </c>
      <c r="G735">
        <v>31</v>
      </c>
      <c r="H735">
        <v>6</v>
      </c>
      <c r="I735">
        <v>8.4</v>
      </c>
    </row>
    <row r="736" spans="1:9" x14ac:dyDescent="0.3">
      <c r="A736">
        <v>1128</v>
      </c>
      <c r="B736">
        <v>1476</v>
      </c>
      <c r="C736">
        <v>2024</v>
      </c>
      <c r="D736">
        <v>3</v>
      </c>
      <c r="E736">
        <v>4</v>
      </c>
      <c r="F736">
        <v>0</v>
      </c>
      <c r="G736">
        <v>26</v>
      </c>
      <c r="H736">
        <v>5</v>
      </c>
      <c r="I736">
        <v>5.8</v>
      </c>
    </row>
    <row r="737" spans="1:9" x14ac:dyDescent="0.3">
      <c r="A737">
        <v>1130</v>
      </c>
      <c r="B737">
        <v>1477</v>
      </c>
      <c r="C737">
        <v>2024</v>
      </c>
      <c r="D737">
        <v>4</v>
      </c>
      <c r="F737">
        <v>11</v>
      </c>
      <c r="G737">
        <v>28</v>
      </c>
      <c r="H737">
        <v>5</v>
      </c>
      <c r="I737">
        <v>7.7</v>
      </c>
    </row>
    <row r="738" spans="1:9" x14ac:dyDescent="0.3">
      <c r="A738">
        <v>1133</v>
      </c>
      <c r="B738">
        <v>1478</v>
      </c>
      <c r="C738">
        <v>2024</v>
      </c>
      <c r="D738">
        <v>5</v>
      </c>
      <c r="E738">
        <v>7</v>
      </c>
      <c r="F738">
        <v>0</v>
      </c>
      <c r="G738">
        <v>18</v>
      </c>
      <c r="H738">
        <v>6</v>
      </c>
      <c r="I738">
        <v>11.6</v>
      </c>
    </row>
    <row r="739" spans="1:9" x14ac:dyDescent="0.3">
      <c r="A739">
        <v>1137</v>
      </c>
      <c r="B739">
        <v>1480</v>
      </c>
      <c r="C739">
        <v>2024</v>
      </c>
      <c r="D739">
        <v>3</v>
      </c>
      <c r="E739">
        <v>8</v>
      </c>
      <c r="F739">
        <v>8</v>
      </c>
      <c r="G739">
        <v>16</v>
      </c>
      <c r="H739">
        <v>2</v>
      </c>
      <c r="I739">
        <v>3.6</v>
      </c>
    </row>
    <row r="740" spans="1:9" x14ac:dyDescent="0.3">
      <c r="A740">
        <v>1139</v>
      </c>
      <c r="B740">
        <v>1600</v>
      </c>
      <c r="C740">
        <v>2024</v>
      </c>
      <c r="D740">
        <v>3</v>
      </c>
      <c r="E740">
        <v>6</v>
      </c>
      <c r="F740">
        <v>4</v>
      </c>
      <c r="G740">
        <v>20</v>
      </c>
      <c r="H740">
        <v>3</v>
      </c>
      <c r="I740">
        <v>5</v>
      </c>
    </row>
    <row r="741" spans="1:9" x14ac:dyDescent="0.3">
      <c r="A741">
        <v>1140</v>
      </c>
      <c r="B741">
        <v>1612</v>
      </c>
      <c r="C741">
        <v>2024</v>
      </c>
      <c r="D741">
        <v>3</v>
      </c>
      <c r="E741">
        <v>6</v>
      </c>
      <c r="F741">
        <v>4</v>
      </c>
      <c r="G741">
        <v>20</v>
      </c>
      <c r="H741">
        <v>3</v>
      </c>
      <c r="I741">
        <v>5</v>
      </c>
    </row>
    <row r="742" spans="1:9" x14ac:dyDescent="0.3">
      <c r="A742">
        <v>1141</v>
      </c>
      <c r="B742">
        <v>1655</v>
      </c>
      <c r="C742">
        <v>2024</v>
      </c>
      <c r="D742">
        <v>3</v>
      </c>
      <c r="E742">
        <v>6</v>
      </c>
      <c r="F742">
        <v>4</v>
      </c>
      <c r="G742">
        <v>20</v>
      </c>
      <c r="H742">
        <v>3</v>
      </c>
      <c r="I742">
        <v>5</v>
      </c>
    </row>
    <row r="743" spans="1:9" x14ac:dyDescent="0.3">
      <c r="A743">
        <v>3</v>
      </c>
      <c r="B743">
        <v>1001</v>
      </c>
      <c r="C743">
        <v>2025</v>
      </c>
      <c r="D743">
        <v>4</v>
      </c>
      <c r="E743">
        <v>5</v>
      </c>
      <c r="F743">
        <v>8</v>
      </c>
      <c r="G743">
        <v>36</v>
      </c>
      <c r="H743">
        <v>4</v>
      </c>
      <c r="I743">
        <v>7.5</v>
      </c>
    </row>
    <row r="744" spans="1:9" x14ac:dyDescent="0.3">
      <c r="A744">
        <v>6</v>
      </c>
      <c r="B744">
        <v>1002</v>
      </c>
      <c r="C744">
        <v>2025</v>
      </c>
      <c r="D744">
        <v>4</v>
      </c>
      <c r="E744">
        <v>6</v>
      </c>
      <c r="F744">
        <v>0</v>
      </c>
      <c r="G744">
        <v>32</v>
      </c>
      <c r="H744">
        <v>6</v>
      </c>
      <c r="I744">
        <v>6.1</v>
      </c>
    </row>
    <row r="745" spans="1:9" x14ac:dyDescent="0.3">
      <c r="A745">
        <v>11</v>
      </c>
      <c r="B745">
        <v>1005</v>
      </c>
      <c r="C745">
        <v>2025</v>
      </c>
      <c r="D745">
        <v>3</v>
      </c>
      <c r="E745">
        <v>5</v>
      </c>
      <c r="F745">
        <v>13</v>
      </c>
      <c r="G745">
        <v>7</v>
      </c>
      <c r="H745">
        <v>5</v>
      </c>
      <c r="I745">
        <v>5.8</v>
      </c>
    </row>
    <row r="746" spans="1:9" x14ac:dyDescent="0.3">
      <c r="A746">
        <v>14</v>
      </c>
      <c r="B746">
        <v>1006</v>
      </c>
      <c r="C746">
        <v>2025</v>
      </c>
      <c r="D746">
        <v>4</v>
      </c>
      <c r="E746">
        <v>7</v>
      </c>
      <c r="F746">
        <v>0</v>
      </c>
      <c r="G746">
        <v>9</v>
      </c>
      <c r="H746">
        <v>4</v>
      </c>
      <c r="I746">
        <v>8.5</v>
      </c>
    </row>
    <row r="747" spans="1:9" x14ac:dyDescent="0.3">
      <c r="A747">
        <v>15</v>
      </c>
      <c r="B747">
        <v>1007</v>
      </c>
      <c r="C747">
        <v>2025</v>
      </c>
      <c r="D747">
        <v>5</v>
      </c>
      <c r="E747">
        <v>7</v>
      </c>
      <c r="F747">
        <v>2</v>
      </c>
      <c r="G747">
        <v>12</v>
      </c>
      <c r="H747">
        <v>2</v>
      </c>
      <c r="I747">
        <v>14.7</v>
      </c>
    </row>
    <row r="748" spans="1:9" x14ac:dyDescent="0.3">
      <c r="A748">
        <v>18</v>
      </c>
      <c r="B748">
        <v>1008</v>
      </c>
      <c r="C748">
        <v>2025</v>
      </c>
      <c r="D748">
        <v>5</v>
      </c>
      <c r="F748">
        <v>1</v>
      </c>
      <c r="G748">
        <v>16</v>
      </c>
      <c r="H748">
        <v>5</v>
      </c>
      <c r="I748">
        <v>12.7</v>
      </c>
    </row>
    <row r="749" spans="1:9" x14ac:dyDescent="0.3">
      <c r="A749">
        <v>22</v>
      </c>
      <c r="B749">
        <v>1011</v>
      </c>
      <c r="C749">
        <v>2025</v>
      </c>
      <c r="D749">
        <v>3</v>
      </c>
      <c r="E749">
        <v>9</v>
      </c>
      <c r="F749">
        <v>4</v>
      </c>
      <c r="G749">
        <v>5</v>
      </c>
      <c r="H749">
        <v>4</v>
      </c>
      <c r="I749">
        <v>2.5</v>
      </c>
    </row>
    <row r="750" spans="1:9" x14ac:dyDescent="0.3">
      <c r="A750">
        <v>26</v>
      </c>
      <c r="B750">
        <v>1014</v>
      </c>
      <c r="C750">
        <v>2025</v>
      </c>
      <c r="D750">
        <v>3</v>
      </c>
      <c r="E750">
        <v>6</v>
      </c>
      <c r="F750">
        <v>7</v>
      </c>
      <c r="G750">
        <v>19</v>
      </c>
      <c r="H750">
        <v>5</v>
      </c>
      <c r="I750">
        <v>2.8</v>
      </c>
    </row>
    <row r="751" spans="1:9" x14ac:dyDescent="0.3">
      <c r="A751">
        <v>28</v>
      </c>
      <c r="B751">
        <v>1015</v>
      </c>
      <c r="C751">
        <v>2025</v>
      </c>
      <c r="D751">
        <v>5</v>
      </c>
      <c r="E751">
        <v>7</v>
      </c>
      <c r="F751">
        <v>3</v>
      </c>
      <c r="G751">
        <v>31</v>
      </c>
      <c r="H751">
        <v>5</v>
      </c>
      <c r="I751">
        <v>12.8</v>
      </c>
    </row>
    <row r="752" spans="1:9" x14ac:dyDescent="0.3">
      <c r="A752">
        <v>31</v>
      </c>
      <c r="B752">
        <v>1016</v>
      </c>
      <c r="C752">
        <v>2025</v>
      </c>
      <c r="D752">
        <v>4</v>
      </c>
      <c r="E752">
        <v>5</v>
      </c>
      <c r="F752">
        <v>7</v>
      </c>
      <c r="G752">
        <v>30</v>
      </c>
      <c r="H752">
        <v>8</v>
      </c>
      <c r="I752">
        <v>5.4</v>
      </c>
    </row>
    <row r="753" spans="1:9" x14ac:dyDescent="0.3">
      <c r="A753">
        <v>34</v>
      </c>
      <c r="B753">
        <v>1017</v>
      </c>
      <c r="C753">
        <v>2025</v>
      </c>
      <c r="D753">
        <v>4</v>
      </c>
      <c r="E753">
        <v>6</v>
      </c>
      <c r="F753">
        <v>0</v>
      </c>
      <c r="G753">
        <v>14</v>
      </c>
      <c r="H753">
        <v>5</v>
      </c>
      <c r="I753">
        <v>7.7</v>
      </c>
    </row>
    <row r="754" spans="1:9" x14ac:dyDescent="0.3">
      <c r="A754">
        <v>37</v>
      </c>
      <c r="B754">
        <v>1018</v>
      </c>
      <c r="C754">
        <v>2025</v>
      </c>
      <c r="D754">
        <v>4</v>
      </c>
      <c r="E754">
        <v>7</v>
      </c>
      <c r="F754">
        <v>16</v>
      </c>
      <c r="G754">
        <v>41</v>
      </c>
      <c r="H754">
        <v>9</v>
      </c>
      <c r="I754">
        <v>8.9</v>
      </c>
    </row>
    <row r="755" spans="1:9" x14ac:dyDescent="0.3">
      <c r="A755">
        <v>40</v>
      </c>
      <c r="B755">
        <v>1019</v>
      </c>
      <c r="C755">
        <v>2025</v>
      </c>
      <c r="D755">
        <v>4</v>
      </c>
      <c r="E755">
        <v>5</v>
      </c>
      <c r="F755">
        <v>6</v>
      </c>
      <c r="G755">
        <v>12</v>
      </c>
      <c r="H755">
        <v>6</v>
      </c>
      <c r="I755">
        <v>7.9</v>
      </c>
    </row>
    <row r="756" spans="1:9" x14ac:dyDescent="0.3">
      <c r="A756">
        <v>42</v>
      </c>
      <c r="B756">
        <v>1020</v>
      </c>
      <c r="C756">
        <v>2025</v>
      </c>
      <c r="D756">
        <v>5</v>
      </c>
      <c r="E756">
        <v>6</v>
      </c>
      <c r="F756">
        <v>3</v>
      </c>
      <c r="G756">
        <v>19</v>
      </c>
      <c r="H756">
        <v>7</v>
      </c>
      <c r="I756">
        <v>12.2</v>
      </c>
    </row>
    <row r="757" spans="1:9" x14ac:dyDescent="0.3">
      <c r="A757">
        <v>43</v>
      </c>
      <c r="B757">
        <v>1021</v>
      </c>
      <c r="C757">
        <v>2025</v>
      </c>
      <c r="D757">
        <v>3</v>
      </c>
      <c r="E757">
        <v>7</v>
      </c>
      <c r="F757">
        <v>11</v>
      </c>
      <c r="G757">
        <v>40</v>
      </c>
      <c r="H757">
        <v>5</v>
      </c>
      <c r="I757">
        <v>4.9000000000000004</v>
      </c>
    </row>
    <row r="758" spans="1:9" x14ac:dyDescent="0.3">
      <c r="A758">
        <v>46</v>
      </c>
      <c r="B758">
        <v>1022</v>
      </c>
      <c r="C758">
        <v>2025</v>
      </c>
      <c r="D758">
        <v>4</v>
      </c>
      <c r="E758">
        <v>5</v>
      </c>
      <c r="F758">
        <v>11</v>
      </c>
      <c r="G758">
        <v>39</v>
      </c>
      <c r="H758">
        <v>4</v>
      </c>
      <c r="I758">
        <v>8</v>
      </c>
    </row>
    <row r="759" spans="1:9" x14ac:dyDescent="0.3">
      <c r="A759">
        <v>49</v>
      </c>
      <c r="B759">
        <v>1023</v>
      </c>
      <c r="C759">
        <v>2025</v>
      </c>
      <c r="E759">
        <v>6</v>
      </c>
      <c r="F759">
        <v>0</v>
      </c>
      <c r="G759">
        <v>17</v>
      </c>
      <c r="H759">
        <v>3</v>
      </c>
      <c r="I759">
        <v>5.7</v>
      </c>
    </row>
    <row r="760" spans="1:9" x14ac:dyDescent="0.3">
      <c r="A760">
        <v>52</v>
      </c>
      <c r="B760">
        <v>1024</v>
      </c>
      <c r="C760">
        <v>2025</v>
      </c>
      <c r="D760">
        <v>4</v>
      </c>
      <c r="E760">
        <v>6</v>
      </c>
      <c r="F760">
        <v>5</v>
      </c>
      <c r="G760">
        <v>17</v>
      </c>
      <c r="H760">
        <v>7</v>
      </c>
      <c r="I760">
        <v>7.9</v>
      </c>
    </row>
    <row r="761" spans="1:9" x14ac:dyDescent="0.3">
      <c r="A761">
        <v>55</v>
      </c>
      <c r="B761">
        <v>1025</v>
      </c>
      <c r="C761">
        <v>2025</v>
      </c>
      <c r="D761">
        <v>2</v>
      </c>
      <c r="E761">
        <v>8</v>
      </c>
      <c r="F761">
        <v>14</v>
      </c>
      <c r="G761">
        <v>5</v>
      </c>
      <c r="H761">
        <v>7</v>
      </c>
      <c r="I761">
        <v>3</v>
      </c>
    </row>
    <row r="762" spans="1:9" x14ac:dyDescent="0.3">
      <c r="A762">
        <v>58</v>
      </c>
      <c r="B762">
        <v>1026</v>
      </c>
      <c r="C762">
        <v>2025</v>
      </c>
      <c r="D762">
        <v>3</v>
      </c>
      <c r="E762">
        <v>6</v>
      </c>
      <c r="F762">
        <v>20</v>
      </c>
      <c r="G762">
        <v>25</v>
      </c>
      <c r="H762">
        <v>5</v>
      </c>
      <c r="I762">
        <v>3.4</v>
      </c>
    </row>
    <row r="763" spans="1:9" x14ac:dyDescent="0.3">
      <c r="A763">
        <v>61</v>
      </c>
      <c r="B763">
        <v>1028</v>
      </c>
      <c r="C763">
        <v>2025</v>
      </c>
      <c r="D763">
        <v>3</v>
      </c>
      <c r="E763">
        <v>4</v>
      </c>
      <c r="F763">
        <v>0</v>
      </c>
      <c r="G763">
        <v>22</v>
      </c>
      <c r="H763">
        <v>5</v>
      </c>
      <c r="I763">
        <v>5</v>
      </c>
    </row>
    <row r="764" spans="1:9" x14ac:dyDescent="0.3">
      <c r="A764">
        <v>64</v>
      </c>
      <c r="B764">
        <v>1029</v>
      </c>
      <c r="C764">
        <v>2025</v>
      </c>
      <c r="D764">
        <v>3</v>
      </c>
      <c r="E764">
        <v>5</v>
      </c>
      <c r="F764">
        <v>12</v>
      </c>
      <c r="G764">
        <v>29</v>
      </c>
      <c r="H764">
        <v>9</v>
      </c>
      <c r="I764">
        <v>5</v>
      </c>
    </row>
    <row r="765" spans="1:9" x14ac:dyDescent="0.3">
      <c r="A765">
        <v>67</v>
      </c>
      <c r="B765">
        <v>1030</v>
      </c>
      <c r="C765">
        <v>2025</v>
      </c>
      <c r="D765">
        <v>4</v>
      </c>
      <c r="E765">
        <v>5</v>
      </c>
      <c r="F765">
        <v>11</v>
      </c>
      <c r="G765">
        <v>23</v>
      </c>
      <c r="H765">
        <v>5</v>
      </c>
      <c r="I765">
        <v>7.8</v>
      </c>
    </row>
    <row r="766" spans="1:9" x14ac:dyDescent="0.3">
      <c r="A766">
        <v>70</v>
      </c>
      <c r="B766">
        <v>1031</v>
      </c>
      <c r="C766">
        <v>2025</v>
      </c>
      <c r="D766">
        <v>3</v>
      </c>
      <c r="E766">
        <v>9</v>
      </c>
      <c r="F766">
        <v>12</v>
      </c>
      <c r="G766">
        <v>37</v>
      </c>
      <c r="H766">
        <v>4</v>
      </c>
      <c r="I766">
        <v>5.3</v>
      </c>
    </row>
    <row r="767" spans="1:9" x14ac:dyDescent="0.3">
      <c r="A767">
        <v>73</v>
      </c>
      <c r="B767">
        <v>1032</v>
      </c>
      <c r="C767">
        <v>2025</v>
      </c>
      <c r="D767">
        <v>3</v>
      </c>
      <c r="E767">
        <v>4</v>
      </c>
      <c r="F767">
        <v>2</v>
      </c>
      <c r="G767">
        <v>30</v>
      </c>
      <c r="H767">
        <v>11</v>
      </c>
      <c r="I767">
        <v>4.3</v>
      </c>
    </row>
    <row r="768" spans="1:9" x14ac:dyDescent="0.3">
      <c r="A768">
        <v>76</v>
      </c>
      <c r="B768">
        <v>1034</v>
      </c>
      <c r="C768">
        <v>2025</v>
      </c>
      <c r="D768">
        <v>4</v>
      </c>
      <c r="E768">
        <v>5</v>
      </c>
      <c r="F768">
        <v>2</v>
      </c>
      <c r="G768">
        <v>4</v>
      </c>
      <c r="H768">
        <v>7</v>
      </c>
      <c r="I768">
        <v>8.9</v>
      </c>
    </row>
    <row r="769" spans="1:9" x14ac:dyDescent="0.3">
      <c r="A769">
        <v>78</v>
      </c>
      <c r="B769">
        <v>1035</v>
      </c>
      <c r="C769">
        <v>2025</v>
      </c>
      <c r="D769">
        <v>5</v>
      </c>
      <c r="E769">
        <v>8</v>
      </c>
      <c r="F769">
        <v>12</v>
      </c>
      <c r="G769">
        <v>19</v>
      </c>
      <c r="H769">
        <v>7</v>
      </c>
      <c r="I769">
        <v>12</v>
      </c>
    </row>
    <row r="770" spans="1:9" x14ac:dyDescent="0.3">
      <c r="A770">
        <v>81</v>
      </c>
      <c r="B770">
        <v>1036</v>
      </c>
      <c r="C770">
        <v>2025</v>
      </c>
      <c r="D770">
        <v>4</v>
      </c>
      <c r="E770">
        <v>5</v>
      </c>
      <c r="F770">
        <v>12</v>
      </c>
      <c r="G770">
        <v>23</v>
      </c>
      <c r="H770">
        <v>4</v>
      </c>
      <c r="I770">
        <v>6.2</v>
      </c>
    </row>
    <row r="771" spans="1:9" x14ac:dyDescent="0.3">
      <c r="A771">
        <v>84</v>
      </c>
      <c r="B771">
        <v>1037</v>
      </c>
      <c r="C771">
        <v>2025</v>
      </c>
      <c r="D771">
        <v>4</v>
      </c>
      <c r="E771">
        <v>8</v>
      </c>
      <c r="F771">
        <v>13</v>
      </c>
      <c r="G771">
        <v>15</v>
      </c>
      <c r="H771">
        <v>5</v>
      </c>
      <c r="I771">
        <v>6.7</v>
      </c>
    </row>
    <row r="772" spans="1:9" x14ac:dyDescent="0.3">
      <c r="A772">
        <v>87</v>
      </c>
      <c r="B772">
        <v>1038</v>
      </c>
      <c r="C772">
        <v>2025</v>
      </c>
      <c r="D772">
        <v>3</v>
      </c>
      <c r="E772">
        <v>9</v>
      </c>
      <c r="F772">
        <v>9</v>
      </c>
      <c r="G772">
        <v>25</v>
      </c>
      <c r="H772">
        <v>7</v>
      </c>
      <c r="I772">
        <v>4.5</v>
      </c>
    </row>
    <row r="773" spans="1:9" x14ac:dyDescent="0.3">
      <c r="A773">
        <v>91</v>
      </c>
      <c r="B773">
        <v>1040</v>
      </c>
      <c r="C773">
        <v>2025</v>
      </c>
      <c r="D773">
        <v>4</v>
      </c>
      <c r="E773">
        <v>6</v>
      </c>
      <c r="F773">
        <v>25</v>
      </c>
      <c r="G773">
        <v>31</v>
      </c>
      <c r="H773">
        <v>6</v>
      </c>
      <c r="I773">
        <v>7.9</v>
      </c>
    </row>
    <row r="774" spans="1:9" x14ac:dyDescent="0.3">
      <c r="A774">
        <v>94</v>
      </c>
      <c r="B774">
        <v>1042</v>
      </c>
      <c r="C774">
        <v>2025</v>
      </c>
      <c r="D774">
        <v>4</v>
      </c>
      <c r="E774">
        <v>8</v>
      </c>
      <c r="F774">
        <v>3</v>
      </c>
      <c r="G774">
        <v>8</v>
      </c>
      <c r="H774">
        <v>2</v>
      </c>
      <c r="I774">
        <v>8.6</v>
      </c>
    </row>
    <row r="775" spans="1:9" x14ac:dyDescent="0.3">
      <c r="A775">
        <v>97</v>
      </c>
      <c r="B775">
        <v>1043</v>
      </c>
      <c r="C775">
        <v>2025</v>
      </c>
      <c r="D775">
        <v>3</v>
      </c>
      <c r="E775">
        <v>7</v>
      </c>
      <c r="F775">
        <v>9</v>
      </c>
      <c r="G775">
        <v>35</v>
      </c>
      <c r="H775">
        <v>5</v>
      </c>
      <c r="I775">
        <v>4</v>
      </c>
    </row>
    <row r="776" spans="1:9" x14ac:dyDescent="0.3">
      <c r="A776">
        <v>99</v>
      </c>
      <c r="B776">
        <v>1044</v>
      </c>
      <c r="C776">
        <v>2025</v>
      </c>
      <c r="D776">
        <v>5</v>
      </c>
      <c r="E776">
        <v>6</v>
      </c>
      <c r="F776">
        <v>6</v>
      </c>
      <c r="G776">
        <v>37</v>
      </c>
      <c r="H776">
        <v>8</v>
      </c>
      <c r="I776">
        <v>10.3</v>
      </c>
    </row>
    <row r="777" spans="1:9" x14ac:dyDescent="0.3">
      <c r="A777">
        <v>102</v>
      </c>
      <c r="B777">
        <v>1045</v>
      </c>
      <c r="C777">
        <v>2025</v>
      </c>
      <c r="D777">
        <v>5</v>
      </c>
      <c r="E777">
        <v>3</v>
      </c>
      <c r="F777">
        <v>0</v>
      </c>
      <c r="G777">
        <v>5</v>
      </c>
      <c r="H777">
        <v>12</v>
      </c>
      <c r="I777">
        <v>12.5</v>
      </c>
    </row>
    <row r="778" spans="1:9" x14ac:dyDescent="0.3">
      <c r="A778">
        <v>105</v>
      </c>
      <c r="B778">
        <v>1046</v>
      </c>
      <c r="C778">
        <v>2025</v>
      </c>
      <c r="D778">
        <v>4</v>
      </c>
      <c r="E778">
        <v>6</v>
      </c>
      <c r="F778">
        <v>15</v>
      </c>
      <c r="G778">
        <v>29</v>
      </c>
      <c r="H778">
        <v>7</v>
      </c>
      <c r="I778">
        <v>8.6999999999999993</v>
      </c>
    </row>
    <row r="779" spans="1:9" x14ac:dyDescent="0.3">
      <c r="A779">
        <v>108</v>
      </c>
      <c r="B779">
        <v>1047</v>
      </c>
      <c r="C779">
        <v>2025</v>
      </c>
      <c r="D779">
        <v>3</v>
      </c>
      <c r="E779">
        <v>7</v>
      </c>
      <c r="F779">
        <v>5</v>
      </c>
      <c r="G779">
        <v>21</v>
      </c>
      <c r="H779">
        <v>0</v>
      </c>
      <c r="I779">
        <v>4.5</v>
      </c>
    </row>
    <row r="780" spans="1:9" x14ac:dyDescent="0.3">
      <c r="A780">
        <v>110</v>
      </c>
      <c r="B780">
        <v>1048</v>
      </c>
      <c r="C780">
        <v>2025</v>
      </c>
      <c r="D780">
        <v>3</v>
      </c>
      <c r="E780">
        <v>5</v>
      </c>
      <c r="F780">
        <v>9</v>
      </c>
      <c r="G780">
        <v>12</v>
      </c>
      <c r="H780">
        <v>7</v>
      </c>
      <c r="I780">
        <v>1.9</v>
      </c>
    </row>
    <row r="781" spans="1:9" x14ac:dyDescent="0.3">
      <c r="A781">
        <v>113</v>
      </c>
      <c r="B781">
        <v>1049</v>
      </c>
      <c r="C781">
        <v>2025</v>
      </c>
      <c r="D781">
        <v>4</v>
      </c>
      <c r="E781">
        <v>9</v>
      </c>
      <c r="F781">
        <v>6</v>
      </c>
      <c r="G781">
        <v>20</v>
      </c>
      <c r="H781">
        <v>4</v>
      </c>
      <c r="I781">
        <v>6.6</v>
      </c>
    </row>
    <row r="782" spans="1:9" x14ac:dyDescent="0.3">
      <c r="A782">
        <v>116</v>
      </c>
      <c r="B782">
        <v>1050</v>
      </c>
      <c r="C782">
        <v>2025</v>
      </c>
      <c r="D782">
        <v>4</v>
      </c>
      <c r="E782">
        <v>6</v>
      </c>
      <c r="F782">
        <v>1</v>
      </c>
      <c r="G782">
        <v>28</v>
      </c>
      <c r="H782">
        <v>4</v>
      </c>
      <c r="I782">
        <v>8.9</v>
      </c>
    </row>
    <row r="783" spans="1:9" x14ac:dyDescent="0.3">
      <c r="A783">
        <v>119</v>
      </c>
      <c r="B783">
        <v>1051</v>
      </c>
      <c r="C783">
        <v>2025</v>
      </c>
      <c r="D783">
        <v>4</v>
      </c>
      <c r="E783">
        <v>8</v>
      </c>
      <c r="F783">
        <v>2</v>
      </c>
      <c r="G783">
        <v>26</v>
      </c>
      <c r="H783">
        <v>2</v>
      </c>
      <c r="I783">
        <v>9</v>
      </c>
    </row>
    <row r="784" spans="1:9" x14ac:dyDescent="0.3">
      <c r="A784">
        <v>122</v>
      </c>
      <c r="B784">
        <v>1052</v>
      </c>
      <c r="C784">
        <v>2025</v>
      </c>
      <c r="D784">
        <v>5</v>
      </c>
      <c r="E784">
        <v>8</v>
      </c>
      <c r="F784">
        <v>10</v>
      </c>
      <c r="G784">
        <v>29</v>
      </c>
      <c r="H784">
        <v>4</v>
      </c>
      <c r="I784">
        <v>12.8</v>
      </c>
    </row>
    <row r="785" spans="1:9" x14ac:dyDescent="0.3">
      <c r="A785">
        <v>125</v>
      </c>
      <c r="B785">
        <v>1053</v>
      </c>
      <c r="C785">
        <v>2025</v>
      </c>
      <c r="D785">
        <v>3</v>
      </c>
      <c r="E785">
        <v>10</v>
      </c>
      <c r="F785">
        <v>2</v>
      </c>
      <c r="G785">
        <v>5</v>
      </c>
      <c r="H785">
        <v>9</v>
      </c>
      <c r="I785">
        <v>6.4</v>
      </c>
    </row>
    <row r="786" spans="1:9" x14ac:dyDescent="0.3">
      <c r="A786">
        <v>128</v>
      </c>
      <c r="B786">
        <v>1054</v>
      </c>
      <c r="C786">
        <v>2025</v>
      </c>
      <c r="D786">
        <v>4</v>
      </c>
      <c r="E786">
        <v>7</v>
      </c>
      <c r="F786">
        <v>7</v>
      </c>
      <c r="G786">
        <v>31</v>
      </c>
      <c r="H786">
        <v>4</v>
      </c>
      <c r="I786">
        <v>7.1</v>
      </c>
    </row>
    <row r="787" spans="1:9" x14ac:dyDescent="0.3">
      <c r="A787">
        <v>131</v>
      </c>
      <c r="B787">
        <v>1055</v>
      </c>
      <c r="C787">
        <v>2025</v>
      </c>
      <c r="D787">
        <v>3</v>
      </c>
      <c r="E787">
        <v>5</v>
      </c>
      <c r="F787">
        <v>12</v>
      </c>
      <c r="G787">
        <v>23</v>
      </c>
      <c r="H787">
        <v>9</v>
      </c>
      <c r="I787">
        <v>5.5</v>
      </c>
    </row>
    <row r="788" spans="1:9" x14ac:dyDescent="0.3">
      <c r="A788">
        <v>134</v>
      </c>
      <c r="B788">
        <v>1056</v>
      </c>
      <c r="C788">
        <v>2025</v>
      </c>
      <c r="D788">
        <v>4</v>
      </c>
      <c r="E788">
        <v>5</v>
      </c>
      <c r="F788">
        <v>13</v>
      </c>
      <c r="G788">
        <v>23</v>
      </c>
      <c r="H788">
        <v>12</v>
      </c>
      <c r="I788">
        <v>7.3</v>
      </c>
    </row>
    <row r="789" spans="1:9" x14ac:dyDescent="0.3">
      <c r="A789">
        <v>136</v>
      </c>
      <c r="B789">
        <v>1057</v>
      </c>
      <c r="C789">
        <v>2025</v>
      </c>
      <c r="D789">
        <v>3</v>
      </c>
      <c r="E789">
        <v>7</v>
      </c>
      <c r="F789">
        <v>12</v>
      </c>
      <c r="G789">
        <v>27</v>
      </c>
      <c r="H789">
        <v>5</v>
      </c>
      <c r="I789">
        <v>4.4000000000000004</v>
      </c>
    </row>
    <row r="790" spans="1:9" x14ac:dyDescent="0.3">
      <c r="A790">
        <v>139</v>
      </c>
      <c r="B790">
        <v>1058</v>
      </c>
      <c r="C790">
        <v>2025</v>
      </c>
      <c r="D790">
        <v>5</v>
      </c>
      <c r="E790">
        <v>7</v>
      </c>
      <c r="F790">
        <v>0</v>
      </c>
      <c r="G790">
        <v>31</v>
      </c>
      <c r="H790">
        <v>4</v>
      </c>
      <c r="I790">
        <v>12.2</v>
      </c>
    </row>
    <row r="791" spans="1:9" x14ac:dyDescent="0.3">
      <c r="A791">
        <v>142</v>
      </c>
      <c r="B791">
        <v>1059</v>
      </c>
      <c r="C791">
        <v>2025</v>
      </c>
      <c r="D791">
        <v>3</v>
      </c>
      <c r="E791">
        <v>9</v>
      </c>
      <c r="F791">
        <v>7</v>
      </c>
      <c r="G791">
        <v>8</v>
      </c>
      <c r="H791">
        <v>1</v>
      </c>
      <c r="I791">
        <v>5.4</v>
      </c>
    </row>
    <row r="792" spans="1:9" x14ac:dyDescent="0.3">
      <c r="A792">
        <v>143</v>
      </c>
      <c r="B792">
        <v>1060</v>
      </c>
      <c r="C792">
        <v>2025</v>
      </c>
      <c r="D792">
        <v>4</v>
      </c>
      <c r="E792">
        <v>6</v>
      </c>
      <c r="F792">
        <v>7</v>
      </c>
      <c r="G792">
        <v>28</v>
      </c>
      <c r="H792">
        <v>5</v>
      </c>
      <c r="I792">
        <v>7.8</v>
      </c>
    </row>
    <row r="793" spans="1:9" x14ac:dyDescent="0.3">
      <c r="A793">
        <v>146</v>
      </c>
      <c r="B793">
        <v>1062</v>
      </c>
      <c r="C793">
        <v>2025</v>
      </c>
      <c r="D793">
        <v>3</v>
      </c>
      <c r="F793">
        <v>9</v>
      </c>
      <c r="G793">
        <v>8</v>
      </c>
      <c r="H793">
        <v>1</v>
      </c>
      <c r="I793">
        <v>6.8</v>
      </c>
    </row>
    <row r="794" spans="1:9" x14ac:dyDescent="0.3">
      <c r="A794">
        <v>149</v>
      </c>
      <c r="B794">
        <v>1063</v>
      </c>
      <c r="C794">
        <v>2025</v>
      </c>
      <c r="D794">
        <v>3</v>
      </c>
      <c r="E794">
        <v>7</v>
      </c>
      <c r="F794">
        <v>0</v>
      </c>
      <c r="G794">
        <v>29</v>
      </c>
      <c r="H794">
        <v>6</v>
      </c>
      <c r="I794">
        <v>4.4000000000000004</v>
      </c>
    </row>
    <row r="795" spans="1:9" x14ac:dyDescent="0.3">
      <c r="A795">
        <v>150</v>
      </c>
      <c r="B795">
        <v>1064</v>
      </c>
      <c r="C795">
        <v>2025</v>
      </c>
      <c r="D795">
        <v>3</v>
      </c>
      <c r="E795">
        <v>8</v>
      </c>
      <c r="F795">
        <v>17</v>
      </c>
      <c r="G795">
        <v>29</v>
      </c>
      <c r="H795">
        <v>3</v>
      </c>
      <c r="I795">
        <v>5.8</v>
      </c>
    </row>
    <row r="796" spans="1:9" x14ac:dyDescent="0.3">
      <c r="A796">
        <v>153</v>
      </c>
      <c r="B796">
        <v>1065</v>
      </c>
      <c r="C796">
        <v>2025</v>
      </c>
      <c r="D796">
        <v>4</v>
      </c>
      <c r="E796">
        <v>6</v>
      </c>
      <c r="F796">
        <v>4</v>
      </c>
      <c r="G796">
        <v>13</v>
      </c>
      <c r="H796">
        <v>0</v>
      </c>
      <c r="I796">
        <v>7.8</v>
      </c>
    </row>
    <row r="797" spans="1:9" x14ac:dyDescent="0.3">
      <c r="A797">
        <v>155</v>
      </c>
      <c r="B797">
        <v>1066</v>
      </c>
      <c r="C797">
        <v>2025</v>
      </c>
      <c r="D797">
        <v>5</v>
      </c>
      <c r="E797">
        <v>6</v>
      </c>
      <c r="F797">
        <v>6</v>
      </c>
      <c r="G797">
        <v>21</v>
      </c>
      <c r="H797">
        <v>1</v>
      </c>
      <c r="I797">
        <v>12</v>
      </c>
    </row>
    <row r="798" spans="1:9" x14ac:dyDescent="0.3">
      <c r="A798">
        <v>158</v>
      </c>
      <c r="B798">
        <v>1067</v>
      </c>
      <c r="C798">
        <v>2025</v>
      </c>
      <c r="D798">
        <v>3</v>
      </c>
      <c r="E798">
        <v>9</v>
      </c>
      <c r="F798">
        <v>8</v>
      </c>
      <c r="G798">
        <v>20</v>
      </c>
      <c r="H798">
        <v>5</v>
      </c>
      <c r="I798">
        <v>4.3</v>
      </c>
    </row>
    <row r="799" spans="1:9" x14ac:dyDescent="0.3">
      <c r="A799">
        <v>161</v>
      </c>
      <c r="B799">
        <v>1068</v>
      </c>
      <c r="C799">
        <v>2025</v>
      </c>
      <c r="D799">
        <v>3</v>
      </c>
      <c r="E799">
        <v>7</v>
      </c>
      <c r="F799">
        <v>5</v>
      </c>
      <c r="G799">
        <v>23</v>
      </c>
      <c r="H799">
        <v>0</v>
      </c>
      <c r="I799">
        <v>4.5999999999999996</v>
      </c>
    </row>
    <row r="800" spans="1:9" x14ac:dyDescent="0.3">
      <c r="A800">
        <v>163</v>
      </c>
      <c r="B800">
        <v>1069</v>
      </c>
      <c r="C800">
        <v>2025</v>
      </c>
      <c r="D800">
        <v>3</v>
      </c>
      <c r="E800">
        <v>9</v>
      </c>
      <c r="F800">
        <v>0</v>
      </c>
      <c r="G800">
        <v>0</v>
      </c>
      <c r="H800">
        <v>7</v>
      </c>
      <c r="I800">
        <v>4.0999999999999996</v>
      </c>
    </row>
    <row r="801" spans="1:9" x14ac:dyDescent="0.3">
      <c r="A801">
        <v>166</v>
      </c>
      <c r="B801">
        <v>1070</v>
      </c>
      <c r="C801">
        <v>2025</v>
      </c>
      <c r="D801">
        <v>4</v>
      </c>
      <c r="E801">
        <v>6</v>
      </c>
      <c r="F801">
        <v>8</v>
      </c>
      <c r="G801">
        <v>16</v>
      </c>
      <c r="H801">
        <v>2</v>
      </c>
      <c r="I801">
        <v>10.5</v>
      </c>
    </row>
    <row r="802" spans="1:9" x14ac:dyDescent="0.3">
      <c r="A802">
        <v>169</v>
      </c>
      <c r="B802">
        <v>1071</v>
      </c>
      <c r="C802">
        <v>2025</v>
      </c>
      <c r="D802">
        <v>5</v>
      </c>
      <c r="E802">
        <v>7</v>
      </c>
      <c r="F802">
        <v>23</v>
      </c>
      <c r="G802">
        <v>36</v>
      </c>
      <c r="H802">
        <v>3</v>
      </c>
      <c r="I802">
        <v>11.9</v>
      </c>
    </row>
    <row r="803" spans="1:9" x14ac:dyDescent="0.3">
      <c r="A803">
        <v>172</v>
      </c>
      <c r="B803">
        <v>1072</v>
      </c>
      <c r="C803">
        <v>2025</v>
      </c>
      <c r="D803">
        <v>2</v>
      </c>
      <c r="E803">
        <v>7</v>
      </c>
      <c r="F803">
        <v>10</v>
      </c>
      <c r="G803">
        <v>8</v>
      </c>
      <c r="H803">
        <v>2</v>
      </c>
      <c r="I803">
        <v>1.8</v>
      </c>
    </row>
    <row r="804" spans="1:9" x14ac:dyDescent="0.3">
      <c r="A804">
        <v>175</v>
      </c>
      <c r="B804">
        <v>1073</v>
      </c>
      <c r="C804">
        <v>2025</v>
      </c>
      <c r="D804">
        <v>3</v>
      </c>
      <c r="E804">
        <v>5</v>
      </c>
      <c r="F804">
        <v>5</v>
      </c>
      <c r="G804">
        <v>22</v>
      </c>
      <c r="H804">
        <v>5</v>
      </c>
      <c r="I804">
        <v>5</v>
      </c>
    </row>
    <row r="805" spans="1:9" x14ac:dyDescent="0.3">
      <c r="A805">
        <v>177</v>
      </c>
      <c r="B805">
        <v>1074</v>
      </c>
      <c r="C805">
        <v>2025</v>
      </c>
      <c r="D805">
        <v>3</v>
      </c>
      <c r="E805">
        <v>7</v>
      </c>
      <c r="F805">
        <v>13</v>
      </c>
      <c r="G805">
        <v>17</v>
      </c>
      <c r="H805">
        <v>2</v>
      </c>
      <c r="I805">
        <v>4.7</v>
      </c>
    </row>
    <row r="806" spans="1:9" x14ac:dyDescent="0.3">
      <c r="A806">
        <v>180</v>
      </c>
      <c r="B806">
        <v>1075</v>
      </c>
      <c r="C806">
        <v>2025</v>
      </c>
      <c r="D806">
        <v>3</v>
      </c>
      <c r="E806">
        <v>6</v>
      </c>
      <c r="F806">
        <v>8</v>
      </c>
      <c r="G806">
        <v>19</v>
      </c>
      <c r="H806">
        <v>5</v>
      </c>
      <c r="I806">
        <v>5.5</v>
      </c>
    </row>
    <row r="807" spans="1:9" x14ac:dyDescent="0.3">
      <c r="A807">
        <v>182</v>
      </c>
      <c r="B807">
        <v>1076</v>
      </c>
      <c r="C807">
        <v>2025</v>
      </c>
      <c r="D807">
        <v>4</v>
      </c>
      <c r="E807">
        <v>4</v>
      </c>
      <c r="F807">
        <v>21</v>
      </c>
      <c r="G807">
        <v>26</v>
      </c>
      <c r="H807">
        <v>4</v>
      </c>
      <c r="I807">
        <v>9</v>
      </c>
    </row>
    <row r="808" spans="1:9" x14ac:dyDescent="0.3">
      <c r="A808">
        <v>185</v>
      </c>
      <c r="B808">
        <v>1078</v>
      </c>
      <c r="C808">
        <v>2025</v>
      </c>
      <c r="D808">
        <v>3</v>
      </c>
      <c r="E808">
        <v>7</v>
      </c>
      <c r="F808">
        <v>8</v>
      </c>
      <c r="G808">
        <v>40</v>
      </c>
      <c r="H808">
        <v>6</v>
      </c>
      <c r="I808">
        <v>4.8</v>
      </c>
    </row>
    <row r="809" spans="1:9" x14ac:dyDescent="0.3">
      <c r="A809">
        <v>188</v>
      </c>
      <c r="B809">
        <v>1079</v>
      </c>
      <c r="C809">
        <v>2025</v>
      </c>
      <c r="D809">
        <v>3</v>
      </c>
      <c r="E809">
        <v>8</v>
      </c>
      <c r="F809">
        <v>10</v>
      </c>
      <c r="G809">
        <v>31</v>
      </c>
      <c r="H809">
        <v>4</v>
      </c>
      <c r="I809">
        <v>5.2</v>
      </c>
    </row>
    <row r="810" spans="1:9" x14ac:dyDescent="0.3">
      <c r="A810">
        <v>191</v>
      </c>
      <c r="B810">
        <v>1080</v>
      </c>
      <c r="C810">
        <v>2025</v>
      </c>
      <c r="D810">
        <v>4</v>
      </c>
      <c r="E810">
        <v>6</v>
      </c>
      <c r="F810">
        <v>16</v>
      </c>
      <c r="G810">
        <v>18</v>
      </c>
      <c r="H810">
        <v>3</v>
      </c>
      <c r="I810">
        <v>11.1</v>
      </c>
    </row>
    <row r="811" spans="1:9" x14ac:dyDescent="0.3">
      <c r="A811">
        <v>195</v>
      </c>
      <c r="B811">
        <v>1082</v>
      </c>
      <c r="C811">
        <v>2025</v>
      </c>
      <c r="D811">
        <v>4</v>
      </c>
      <c r="E811">
        <v>7</v>
      </c>
      <c r="F811">
        <v>2</v>
      </c>
      <c r="G811">
        <v>31</v>
      </c>
      <c r="H811">
        <v>3</v>
      </c>
      <c r="I811">
        <v>7.4</v>
      </c>
    </row>
    <row r="812" spans="1:9" x14ac:dyDescent="0.3">
      <c r="A812">
        <v>198</v>
      </c>
      <c r="B812">
        <v>1083</v>
      </c>
      <c r="C812">
        <v>2025</v>
      </c>
      <c r="D812">
        <v>5</v>
      </c>
      <c r="E812">
        <v>5</v>
      </c>
      <c r="F812">
        <v>12</v>
      </c>
      <c r="G812">
        <v>37</v>
      </c>
      <c r="H812">
        <v>6</v>
      </c>
      <c r="I812">
        <v>11.6</v>
      </c>
    </row>
    <row r="813" spans="1:9" x14ac:dyDescent="0.3">
      <c r="A813">
        <v>201</v>
      </c>
      <c r="B813">
        <v>1084</v>
      </c>
      <c r="C813">
        <v>2025</v>
      </c>
      <c r="D813">
        <v>4</v>
      </c>
      <c r="E813">
        <v>6</v>
      </c>
      <c r="F813">
        <v>10</v>
      </c>
      <c r="G813">
        <v>26</v>
      </c>
      <c r="H813">
        <v>4</v>
      </c>
      <c r="I813">
        <v>8.3000000000000007</v>
      </c>
    </row>
    <row r="814" spans="1:9" x14ac:dyDescent="0.3">
      <c r="A814">
        <v>205</v>
      </c>
      <c r="B814">
        <v>1086</v>
      </c>
      <c r="C814">
        <v>2025</v>
      </c>
      <c r="D814">
        <v>4</v>
      </c>
      <c r="E814">
        <v>7</v>
      </c>
      <c r="F814">
        <v>8</v>
      </c>
      <c r="G814">
        <v>37</v>
      </c>
      <c r="H814">
        <v>6</v>
      </c>
      <c r="I814">
        <v>7.2</v>
      </c>
    </row>
    <row r="815" spans="1:9" x14ac:dyDescent="0.3">
      <c r="A815">
        <v>208</v>
      </c>
      <c r="B815">
        <v>1087</v>
      </c>
      <c r="C815">
        <v>2025</v>
      </c>
      <c r="D815">
        <v>2</v>
      </c>
      <c r="E815">
        <v>5</v>
      </c>
      <c r="F815">
        <v>11</v>
      </c>
      <c r="G815">
        <v>25</v>
      </c>
      <c r="H815">
        <v>7</v>
      </c>
      <c r="I815">
        <v>0.5</v>
      </c>
    </row>
    <row r="816" spans="1:9" x14ac:dyDescent="0.3">
      <c r="A816">
        <v>210</v>
      </c>
      <c r="B816">
        <v>1088</v>
      </c>
      <c r="C816">
        <v>2025</v>
      </c>
      <c r="D816">
        <v>4</v>
      </c>
      <c r="E816">
        <v>10</v>
      </c>
      <c r="F816">
        <v>3</v>
      </c>
      <c r="G816">
        <v>35</v>
      </c>
      <c r="H816">
        <v>7</v>
      </c>
      <c r="I816">
        <v>9.8000000000000007</v>
      </c>
    </row>
    <row r="817" spans="1:9" x14ac:dyDescent="0.3">
      <c r="A817">
        <v>213</v>
      </c>
      <c r="B817">
        <v>1089</v>
      </c>
      <c r="C817">
        <v>2025</v>
      </c>
      <c r="D817">
        <v>4</v>
      </c>
      <c r="E817">
        <v>6</v>
      </c>
      <c r="F817">
        <v>2</v>
      </c>
      <c r="G817">
        <v>23</v>
      </c>
      <c r="H817">
        <v>3</v>
      </c>
      <c r="I817">
        <v>7.6</v>
      </c>
    </row>
    <row r="818" spans="1:9" x14ac:dyDescent="0.3">
      <c r="A818">
        <v>215</v>
      </c>
      <c r="B818">
        <v>1091</v>
      </c>
      <c r="C818">
        <v>2025</v>
      </c>
      <c r="D818">
        <v>4</v>
      </c>
      <c r="E818">
        <v>5</v>
      </c>
      <c r="F818">
        <v>7</v>
      </c>
      <c r="G818">
        <v>28</v>
      </c>
      <c r="H818">
        <v>7</v>
      </c>
      <c r="I818">
        <v>6</v>
      </c>
    </row>
    <row r="819" spans="1:9" x14ac:dyDescent="0.3">
      <c r="A819">
        <v>218</v>
      </c>
      <c r="B819">
        <v>1092</v>
      </c>
      <c r="C819">
        <v>2025</v>
      </c>
      <c r="D819">
        <v>3</v>
      </c>
      <c r="E819">
        <v>9</v>
      </c>
      <c r="F819">
        <v>10</v>
      </c>
      <c r="G819">
        <v>29</v>
      </c>
      <c r="H819">
        <v>0</v>
      </c>
      <c r="I819">
        <v>5.3</v>
      </c>
    </row>
    <row r="820" spans="1:9" x14ac:dyDescent="0.3">
      <c r="A820">
        <v>222</v>
      </c>
      <c r="B820">
        <v>1094</v>
      </c>
      <c r="C820">
        <v>2025</v>
      </c>
      <c r="D820">
        <v>4</v>
      </c>
      <c r="E820">
        <v>6</v>
      </c>
      <c r="F820">
        <v>6</v>
      </c>
      <c r="G820">
        <v>1</v>
      </c>
      <c r="H820">
        <v>4</v>
      </c>
      <c r="I820">
        <v>9.6</v>
      </c>
    </row>
    <row r="821" spans="1:9" x14ac:dyDescent="0.3">
      <c r="A821">
        <v>222</v>
      </c>
      <c r="B821">
        <v>1094</v>
      </c>
      <c r="C821">
        <v>2025</v>
      </c>
      <c r="D821">
        <v>4</v>
      </c>
      <c r="E821">
        <v>6</v>
      </c>
      <c r="F821">
        <v>6</v>
      </c>
      <c r="G821">
        <v>1</v>
      </c>
      <c r="H821">
        <v>4</v>
      </c>
      <c r="I821">
        <v>9.6</v>
      </c>
    </row>
    <row r="822" spans="1:9" x14ac:dyDescent="0.3">
      <c r="A822">
        <v>226</v>
      </c>
      <c r="B822">
        <v>1096</v>
      </c>
      <c r="C822">
        <v>2025</v>
      </c>
      <c r="D822">
        <v>3</v>
      </c>
      <c r="E822">
        <v>5</v>
      </c>
      <c r="F822">
        <v>12</v>
      </c>
      <c r="G822">
        <v>20</v>
      </c>
      <c r="H822">
        <v>8</v>
      </c>
      <c r="I822">
        <v>4.8</v>
      </c>
    </row>
    <row r="823" spans="1:9" x14ac:dyDescent="0.3">
      <c r="A823">
        <v>229</v>
      </c>
      <c r="B823">
        <v>1098</v>
      </c>
      <c r="C823">
        <v>2025</v>
      </c>
      <c r="D823">
        <v>2</v>
      </c>
      <c r="E823">
        <v>8</v>
      </c>
      <c r="F823">
        <v>5</v>
      </c>
      <c r="G823">
        <v>7</v>
      </c>
      <c r="H823">
        <v>3</v>
      </c>
      <c r="I823">
        <v>2.8</v>
      </c>
    </row>
    <row r="824" spans="1:9" x14ac:dyDescent="0.3">
      <c r="A824">
        <v>232</v>
      </c>
      <c r="B824">
        <v>1099</v>
      </c>
      <c r="C824">
        <v>2025</v>
      </c>
      <c r="D824">
        <v>5</v>
      </c>
      <c r="E824">
        <v>5</v>
      </c>
      <c r="F824">
        <v>15</v>
      </c>
      <c r="G824">
        <v>31</v>
      </c>
      <c r="H824">
        <v>6</v>
      </c>
      <c r="I824">
        <v>10.3</v>
      </c>
    </row>
    <row r="825" spans="1:9" x14ac:dyDescent="0.3">
      <c r="A825">
        <v>235</v>
      </c>
      <c r="B825">
        <v>1100</v>
      </c>
      <c r="C825">
        <v>2025</v>
      </c>
      <c r="D825">
        <v>5</v>
      </c>
      <c r="E825">
        <v>5</v>
      </c>
      <c r="F825">
        <v>11</v>
      </c>
      <c r="G825">
        <v>19</v>
      </c>
      <c r="H825">
        <v>4</v>
      </c>
      <c r="I825">
        <v>12</v>
      </c>
    </row>
    <row r="826" spans="1:9" x14ac:dyDescent="0.3">
      <c r="A826">
        <v>238</v>
      </c>
      <c r="B826">
        <v>1102</v>
      </c>
      <c r="C826">
        <v>2025</v>
      </c>
      <c r="D826">
        <v>4</v>
      </c>
      <c r="E826">
        <v>9</v>
      </c>
      <c r="F826">
        <v>12</v>
      </c>
      <c r="G826">
        <v>15</v>
      </c>
      <c r="H826">
        <v>4</v>
      </c>
      <c r="I826">
        <v>7.4</v>
      </c>
    </row>
    <row r="827" spans="1:9" x14ac:dyDescent="0.3">
      <c r="A827">
        <v>239</v>
      </c>
      <c r="B827">
        <v>1103</v>
      </c>
      <c r="C827">
        <v>2025</v>
      </c>
      <c r="D827">
        <v>4</v>
      </c>
      <c r="E827">
        <v>6</v>
      </c>
      <c r="F827">
        <v>7</v>
      </c>
      <c r="G827">
        <v>26</v>
      </c>
      <c r="H827">
        <v>2</v>
      </c>
      <c r="I827">
        <v>8.1</v>
      </c>
    </row>
    <row r="828" spans="1:9" x14ac:dyDescent="0.3">
      <c r="A828">
        <v>242</v>
      </c>
      <c r="B828">
        <v>1104</v>
      </c>
      <c r="C828">
        <v>2025</v>
      </c>
      <c r="D828">
        <v>5</v>
      </c>
      <c r="E828">
        <v>3</v>
      </c>
      <c r="F828">
        <v>8</v>
      </c>
      <c r="G828">
        <v>35</v>
      </c>
      <c r="H828">
        <v>7</v>
      </c>
      <c r="I828">
        <v>13.5</v>
      </c>
    </row>
    <row r="829" spans="1:9" x14ac:dyDescent="0.3">
      <c r="A829">
        <v>243</v>
      </c>
      <c r="B829">
        <v>1105</v>
      </c>
      <c r="C829">
        <v>2025</v>
      </c>
      <c r="D829">
        <v>4</v>
      </c>
      <c r="E829">
        <v>8</v>
      </c>
      <c r="F829">
        <v>3</v>
      </c>
      <c r="G829">
        <v>36</v>
      </c>
      <c r="H829">
        <v>4</v>
      </c>
      <c r="I829">
        <v>8.3000000000000007</v>
      </c>
    </row>
    <row r="830" spans="1:9" x14ac:dyDescent="0.3">
      <c r="A830">
        <v>245</v>
      </c>
      <c r="B830">
        <v>1106</v>
      </c>
      <c r="C830">
        <v>2025</v>
      </c>
      <c r="D830">
        <v>4</v>
      </c>
      <c r="E830">
        <v>7</v>
      </c>
      <c r="F830">
        <v>5</v>
      </c>
      <c r="G830">
        <v>23</v>
      </c>
      <c r="H830">
        <v>3</v>
      </c>
      <c r="I830">
        <v>5.0999999999999996</v>
      </c>
    </row>
    <row r="831" spans="1:9" x14ac:dyDescent="0.3">
      <c r="A831">
        <v>248</v>
      </c>
      <c r="B831">
        <v>1107</v>
      </c>
      <c r="C831">
        <v>2025</v>
      </c>
      <c r="D831">
        <v>5</v>
      </c>
      <c r="E831">
        <v>8</v>
      </c>
      <c r="F831">
        <v>16</v>
      </c>
      <c r="G831">
        <v>31</v>
      </c>
      <c r="H831">
        <v>7</v>
      </c>
      <c r="I831">
        <v>10.6</v>
      </c>
    </row>
    <row r="832" spans="1:9" x14ac:dyDescent="0.3">
      <c r="A832">
        <v>251</v>
      </c>
      <c r="B832">
        <v>1108</v>
      </c>
      <c r="C832">
        <v>2025</v>
      </c>
      <c r="D832">
        <v>5</v>
      </c>
      <c r="E832">
        <v>3</v>
      </c>
      <c r="F832">
        <v>8</v>
      </c>
      <c r="G832">
        <v>2</v>
      </c>
      <c r="H832">
        <v>9</v>
      </c>
      <c r="I832">
        <v>13.2</v>
      </c>
    </row>
    <row r="833" spans="1:9" x14ac:dyDescent="0.3">
      <c r="A833">
        <v>252</v>
      </c>
      <c r="B833">
        <v>1109</v>
      </c>
      <c r="C833">
        <v>2025</v>
      </c>
      <c r="D833">
        <v>3</v>
      </c>
      <c r="E833">
        <v>7</v>
      </c>
      <c r="F833">
        <v>0</v>
      </c>
      <c r="G833">
        <v>28</v>
      </c>
      <c r="H833">
        <v>4</v>
      </c>
      <c r="I833">
        <v>5.7</v>
      </c>
    </row>
    <row r="834" spans="1:9" x14ac:dyDescent="0.3">
      <c r="A834">
        <v>255</v>
      </c>
      <c r="B834">
        <v>1110</v>
      </c>
      <c r="C834">
        <v>2025</v>
      </c>
      <c r="D834">
        <v>3</v>
      </c>
      <c r="E834">
        <v>5</v>
      </c>
      <c r="F834">
        <v>5</v>
      </c>
      <c r="G834">
        <v>34</v>
      </c>
      <c r="H834">
        <v>2</v>
      </c>
      <c r="I834">
        <v>4.9000000000000004</v>
      </c>
    </row>
    <row r="835" spans="1:9" x14ac:dyDescent="0.3">
      <c r="A835">
        <v>258</v>
      </c>
      <c r="B835">
        <v>1111</v>
      </c>
      <c r="C835">
        <v>2025</v>
      </c>
      <c r="D835">
        <v>3</v>
      </c>
      <c r="E835">
        <v>6</v>
      </c>
      <c r="F835">
        <v>8</v>
      </c>
      <c r="G835">
        <v>49</v>
      </c>
      <c r="H835">
        <v>6</v>
      </c>
      <c r="I835">
        <v>4.3</v>
      </c>
    </row>
    <row r="836" spans="1:9" x14ac:dyDescent="0.3">
      <c r="A836">
        <v>259</v>
      </c>
      <c r="B836">
        <v>1113</v>
      </c>
      <c r="C836">
        <v>2025</v>
      </c>
      <c r="D836">
        <v>5</v>
      </c>
      <c r="E836">
        <v>5</v>
      </c>
      <c r="F836">
        <v>1</v>
      </c>
      <c r="G836">
        <v>29</v>
      </c>
      <c r="H836">
        <v>4</v>
      </c>
      <c r="I836">
        <v>12.2</v>
      </c>
    </row>
    <row r="837" spans="1:9" x14ac:dyDescent="0.3">
      <c r="A837">
        <v>262</v>
      </c>
      <c r="B837">
        <v>1114</v>
      </c>
      <c r="C837">
        <v>2025</v>
      </c>
      <c r="D837">
        <v>3</v>
      </c>
      <c r="E837">
        <v>8</v>
      </c>
      <c r="F837">
        <v>3</v>
      </c>
      <c r="G837">
        <v>28</v>
      </c>
      <c r="H837">
        <v>3</v>
      </c>
      <c r="I837">
        <v>4.0999999999999996</v>
      </c>
    </row>
    <row r="838" spans="1:9" x14ac:dyDescent="0.3">
      <c r="A838">
        <v>266</v>
      </c>
      <c r="B838">
        <v>1116</v>
      </c>
      <c r="C838">
        <v>2025</v>
      </c>
      <c r="D838">
        <v>2</v>
      </c>
      <c r="E838">
        <v>7</v>
      </c>
      <c r="F838">
        <v>7</v>
      </c>
      <c r="G838">
        <v>12</v>
      </c>
      <c r="H838">
        <v>5</v>
      </c>
      <c r="I838">
        <v>3.5</v>
      </c>
    </row>
    <row r="839" spans="1:9" x14ac:dyDescent="0.3">
      <c r="A839">
        <v>269</v>
      </c>
      <c r="B839">
        <v>1117</v>
      </c>
      <c r="C839">
        <v>2025</v>
      </c>
      <c r="D839">
        <v>3</v>
      </c>
      <c r="E839">
        <v>6</v>
      </c>
      <c r="F839">
        <v>20</v>
      </c>
      <c r="G839">
        <v>3</v>
      </c>
      <c r="H839">
        <v>4</v>
      </c>
      <c r="I839">
        <v>5.7</v>
      </c>
    </row>
    <row r="840" spans="1:9" x14ac:dyDescent="0.3">
      <c r="A840">
        <v>272</v>
      </c>
      <c r="B840">
        <v>1118</v>
      </c>
      <c r="C840">
        <v>2025</v>
      </c>
      <c r="D840">
        <v>4</v>
      </c>
      <c r="E840">
        <v>6</v>
      </c>
      <c r="F840">
        <v>13</v>
      </c>
      <c r="G840">
        <v>30</v>
      </c>
      <c r="H840">
        <v>4</v>
      </c>
      <c r="I840">
        <v>7.9</v>
      </c>
    </row>
    <row r="841" spans="1:9" x14ac:dyDescent="0.3">
      <c r="A841">
        <v>275</v>
      </c>
      <c r="B841">
        <v>1119</v>
      </c>
      <c r="C841">
        <v>2025</v>
      </c>
      <c r="D841">
        <v>2</v>
      </c>
      <c r="E841">
        <v>6</v>
      </c>
      <c r="F841">
        <v>7</v>
      </c>
      <c r="G841">
        <v>21</v>
      </c>
      <c r="H841">
        <v>3</v>
      </c>
      <c r="I841">
        <v>2.7</v>
      </c>
    </row>
    <row r="842" spans="1:9" x14ac:dyDescent="0.3">
      <c r="A842">
        <v>276</v>
      </c>
      <c r="B842">
        <v>1120</v>
      </c>
      <c r="C842">
        <v>2025</v>
      </c>
      <c r="E842">
        <v>10</v>
      </c>
      <c r="F842">
        <v>17</v>
      </c>
      <c r="G842">
        <v>21</v>
      </c>
      <c r="H842">
        <v>2</v>
      </c>
      <c r="I842">
        <v>3.8</v>
      </c>
    </row>
    <row r="843" spans="1:9" x14ac:dyDescent="0.3">
      <c r="A843">
        <v>279</v>
      </c>
      <c r="B843">
        <v>1121</v>
      </c>
      <c r="C843">
        <v>2025</v>
      </c>
      <c r="D843">
        <v>2</v>
      </c>
      <c r="E843">
        <v>8</v>
      </c>
      <c r="F843">
        <v>14</v>
      </c>
      <c r="G843">
        <v>20</v>
      </c>
      <c r="H843">
        <v>4</v>
      </c>
      <c r="I843">
        <v>0</v>
      </c>
    </row>
    <row r="844" spans="1:9" x14ac:dyDescent="0.3">
      <c r="A844">
        <v>282</v>
      </c>
      <c r="B844">
        <v>1122</v>
      </c>
      <c r="C844">
        <v>2025</v>
      </c>
      <c r="D844">
        <v>5</v>
      </c>
      <c r="E844">
        <v>9</v>
      </c>
      <c r="F844">
        <v>4</v>
      </c>
      <c r="G844">
        <v>0</v>
      </c>
      <c r="H844">
        <v>3</v>
      </c>
      <c r="I844">
        <v>11.9</v>
      </c>
    </row>
    <row r="845" spans="1:9" x14ac:dyDescent="0.3">
      <c r="A845">
        <v>283</v>
      </c>
      <c r="B845">
        <v>1123</v>
      </c>
      <c r="C845">
        <v>2025</v>
      </c>
      <c r="D845">
        <v>5</v>
      </c>
      <c r="E845">
        <v>8</v>
      </c>
      <c r="F845">
        <v>0</v>
      </c>
      <c r="G845">
        <v>27</v>
      </c>
      <c r="H845">
        <v>6</v>
      </c>
      <c r="I845">
        <v>12.4</v>
      </c>
    </row>
    <row r="846" spans="1:9" x14ac:dyDescent="0.3">
      <c r="A846">
        <v>286</v>
      </c>
      <c r="B846">
        <v>1124</v>
      </c>
      <c r="C846">
        <v>2025</v>
      </c>
      <c r="D846">
        <v>4</v>
      </c>
      <c r="E846">
        <v>6</v>
      </c>
      <c r="F846">
        <v>11</v>
      </c>
      <c r="G846">
        <v>9</v>
      </c>
      <c r="H846">
        <v>4</v>
      </c>
      <c r="I846">
        <v>7.6</v>
      </c>
    </row>
    <row r="847" spans="1:9" x14ac:dyDescent="0.3">
      <c r="A847">
        <v>289</v>
      </c>
      <c r="B847">
        <v>1126</v>
      </c>
      <c r="C847">
        <v>2025</v>
      </c>
      <c r="D847">
        <v>3</v>
      </c>
      <c r="E847">
        <v>1</v>
      </c>
      <c r="F847">
        <v>7</v>
      </c>
      <c r="G847">
        <v>19</v>
      </c>
      <c r="H847">
        <v>7</v>
      </c>
      <c r="I847">
        <v>7</v>
      </c>
    </row>
    <row r="848" spans="1:9" x14ac:dyDescent="0.3">
      <c r="A848">
        <v>292</v>
      </c>
      <c r="B848">
        <v>1127</v>
      </c>
      <c r="C848">
        <v>2025</v>
      </c>
      <c r="D848">
        <v>4</v>
      </c>
      <c r="E848">
        <v>8</v>
      </c>
      <c r="F848">
        <v>2</v>
      </c>
      <c r="G848">
        <v>40</v>
      </c>
      <c r="H848">
        <v>3</v>
      </c>
      <c r="I848">
        <v>8.1</v>
      </c>
    </row>
    <row r="849" spans="1:9" x14ac:dyDescent="0.3">
      <c r="A849">
        <v>293</v>
      </c>
      <c r="B849">
        <v>1128</v>
      </c>
      <c r="C849">
        <v>2025</v>
      </c>
      <c r="E849">
        <v>8</v>
      </c>
      <c r="F849">
        <v>5</v>
      </c>
      <c r="G849">
        <v>6</v>
      </c>
      <c r="H849">
        <v>2</v>
      </c>
      <c r="I849">
        <v>4.3</v>
      </c>
    </row>
    <row r="850" spans="1:9" x14ac:dyDescent="0.3">
      <c r="A850">
        <v>296</v>
      </c>
      <c r="B850">
        <v>1129</v>
      </c>
      <c r="C850">
        <v>2025</v>
      </c>
      <c r="D850">
        <v>3</v>
      </c>
      <c r="E850">
        <v>5</v>
      </c>
      <c r="F850">
        <v>8</v>
      </c>
      <c r="G850">
        <v>28</v>
      </c>
      <c r="H850">
        <v>9</v>
      </c>
      <c r="I850">
        <v>4.5999999999999996</v>
      </c>
    </row>
    <row r="851" spans="1:9" x14ac:dyDescent="0.3">
      <c r="A851">
        <v>297</v>
      </c>
      <c r="B851">
        <v>1130</v>
      </c>
      <c r="C851">
        <v>2025</v>
      </c>
      <c r="D851">
        <v>3</v>
      </c>
      <c r="E851">
        <v>4</v>
      </c>
      <c r="F851">
        <v>2</v>
      </c>
      <c r="G851">
        <v>21</v>
      </c>
      <c r="H851">
        <v>8</v>
      </c>
      <c r="I851">
        <v>6.6</v>
      </c>
    </row>
    <row r="852" spans="1:9" x14ac:dyDescent="0.3">
      <c r="A852">
        <v>300</v>
      </c>
      <c r="B852">
        <v>1131</v>
      </c>
      <c r="C852">
        <v>2025</v>
      </c>
      <c r="D852">
        <v>3</v>
      </c>
      <c r="E852">
        <v>5</v>
      </c>
      <c r="F852">
        <v>9</v>
      </c>
      <c r="G852">
        <v>19</v>
      </c>
      <c r="H852">
        <v>4</v>
      </c>
      <c r="I852">
        <v>4.9000000000000004</v>
      </c>
    </row>
    <row r="853" spans="1:9" x14ac:dyDescent="0.3">
      <c r="A853">
        <v>303</v>
      </c>
      <c r="B853">
        <v>1133</v>
      </c>
      <c r="C853">
        <v>2025</v>
      </c>
      <c r="D853">
        <v>4</v>
      </c>
      <c r="E853">
        <v>5</v>
      </c>
      <c r="F853">
        <v>11</v>
      </c>
      <c r="G853">
        <v>24</v>
      </c>
      <c r="H853">
        <v>4</v>
      </c>
      <c r="I853">
        <v>8.6</v>
      </c>
    </row>
    <row r="854" spans="1:9" x14ac:dyDescent="0.3">
      <c r="A854">
        <v>306</v>
      </c>
      <c r="B854">
        <v>1134</v>
      </c>
      <c r="C854">
        <v>2025</v>
      </c>
      <c r="D854">
        <v>4</v>
      </c>
      <c r="E854">
        <v>5</v>
      </c>
      <c r="F854">
        <v>10</v>
      </c>
      <c r="G854">
        <v>28</v>
      </c>
      <c r="H854">
        <v>5</v>
      </c>
      <c r="I854">
        <v>6.8</v>
      </c>
    </row>
    <row r="855" spans="1:9" x14ac:dyDescent="0.3">
      <c r="A855">
        <v>309</v>
      </c>
      <c r="B855">
        <v>1135</v>
      </c>
      <c r="C855">
        <v>2025</v>
      </c>
      <c r="D855">
        <v>4</v>
      </c>
      <c r="E855">
        <v>6</v>
      </c>
      <c r="F855">
        <v>8</v>
      </c>
      <c r="G855">
        <v>22</v>
      </c>
      <c r="H855">
        <v>6</v>
      </c>
      <c r="I855">
        <v>7.6</v>
      </c>
    </row>
    <row r="856" spans="1:9" x14ac:dyDescent="0.3">
      <c r="A856">
        <v>312</v>
      </c>
      <c r="B856">
        <v>1136</v>
      </c>
      <c r="C856">
        <v>2025</v>
      </c>
      <c r="D856">
        <v>4</v>
      </c>
      <c r="E856">
        <v>6</v>
      </c>
      <c r="F856">
        <v>0</v>
      </c>
      <c r="G856">
        <v>24</v>
      </c>
      <c r="H856">
        <v>3</v>
      </c>
      <c r="I856">
        <v>8.1999999999999993</v>
      </c>
    </row>
    <row r="857" spans="1:9" x14ac:dyDescent="0.3">
      <c r="A857">
        <v>313</v>
      </c>
      <c r="B857">
        <v>1137</v>
      </c>
      <c r="C857">
        <v>2025</v>
      </c>
      <c r="D857">
        <v>3</v>
      </c>
      <c r="E857">
        <v>3</v>
      </c>
      <c r="F857">
        <v>5</v>
      </c>
      <c r="G857">
        <v>9</v>
      </c>
      <c r="H857">
        <v>8</v>
      </c>
      <c r="I857">
        <v>4.8</v>
      </c>
    </row>
    <row r="858" spans="1:9" x14ac:dyDescent="0.3">
      <c r="A858">
        <v>316</v>
      </c>
      <c r="B858">
        <v>1138</v>
      </c>
      <c r="C858">
        <v>2025</v>
      </c>
      <c r="D858">
        <v>3</v>
      </c>
      <c r="E858">
        <v>7</v>
      </c>
      <c r="F858">
        <v>10</v>
      </c>
      <c r="G858">
        <v>17</v>
      </c>
      <c r="H858">
        <v>1</v>
      </c>
      <c r="I858">
        <v>5.7</v>
      </c>
    </row>
    <row r="859" spans="1:9" x14ac:dyDescent="0.3">
      <c r="A859">
        <v>319</v>
      </c>
      <c r="B859">
        <v>1139</v>
      </c>
      <c r="C859">
        <v>2025</v>
      </c>
      <c r="D859">
        <v>3</v>
      </c>
      <c r="E859">
        <v>5</v>
      </c>
      <c r="F859">
        <v>0</v>
      </c>
      <c r="G859">
        <v>18</v>
      </c>
      <c r="H859">
        <v>4</v>
      </c>
      <c r="I859">
        <v>3.5</v>
      </c>
    </row>
    <row r="860" spans="1:9" x14ac:dyDescent="0.3">
      <c r="A860">
        <v>323</v>
      </c>
      <c r="B860">
        <v>1142</v>
      </c>
      <c r="C860">
        <v>2025</v>
      </c>
      <c r="D860">
        <v>3</v>
      </c>
      <c r="E860">
        <v>8</v>
      </c>
      <c r="F860">
        <v>0</v>
      </c>
      <c r="G860">
        <v>33</v>
      </c>
      <c r="H860">
        <v>3</v>
      </c>
      <c r="I860">
        <v>5.3</v>
      </c>
    </row>
    <row r="861" spans="1:9" x14ac:dyDescent="0.3">
      <c r="A861">
        <v>326</v>
      </c>
      <c r="B861">
        <v>1143</v>
      </c>
      <c r="C861">
        <v>2025</v>
      </c>
      <c r="D861">
        <v>4</v>
      </c>
      <c r="E861">
        <v>7</v>
      </c>
      <c r="F861">
        <v>1</v>
      </c>
      <c r="G861">
        <v>13</v>
      </c>
      <c r="H861">
        <v>9</v>
      </c>
      <c r="I861">
        <v>7.8</v>
      </c>
    </row>
    <row r="862" spans="1:9" x14ac:dyDescent="0.3">
      <c r="A862">
        <v>329</v>
      </c>
      <c r="B862">
        <v>1144</v>
      </c>
      <c r="C862">
        <v>2025</v>
      </c>
      <c r="D862">
        <v>2</v>
      </c>
      <c r="E862">
        <v>9</v>
      </c>
      <c r="F862">
        <v>1</v>
      </c>
      <c r="G862">
        <v>17</v>
      </c>
      <c r="H862">
        <v>2</v>
      </c>
      <c r="I862">
        <v>1.9</v>
      </c>
    </row>
    <row r="863" spans="1:9" x14ac:dyDescent="0.3">
      <c r="A863">
        <v>332</v>
      </c>
      <c r="B863">
        <v>1145</v>
      </c>
      <c r="C863">
        <v>2025</v>
      </c>
      <c r="D863">
        <v>4</v>
      </c>
      <c r="E863">
        <v>10</v>
      </c>
      <c r="F863">
        <v>20</v>
      </c>
      <c r="G863">
        <v>15</v>
      </c>
      <c r="H863">
        <v>4</v>
      </c>
      <c r="I863">
        <v>6.8</v>
      </c>
    </row>
    <row r="864" spans="1:9" x14ac:dyDescent="0.3">
      <c r="A864">
        <v>335</v>
      </c>
      <c r="B864">
        <v>1146</v>
      </c>
      <c r="C864">
        <v>2025</v>
      </c>
      <c r="D864">
        <v>3</v>
      </c>
      <c r="E864">
        <v>6</v>
      </c>
      <c r="F864">
        <v>6</v>
      </c>
      <c r="G864">
        <v>53</v>
      </c>
      <c r="H864">
        <v>5</v>
      </c>
      <c r="I864">
        <v>6.6</v>
      </c>
    </row>
    <row r="865" spans="1:9" x14ac:dyDescent="0.3">
      <c r="A865">
        <v>338</v>
      </c>
      <c r="B865">
        <v>1147</v>
      </c>
      <c r="C865">
        <v>2025</v>
      </c>
      <c r="D865">
        <v>4</v>
      </c>
      <c r="E865">
        <v>4</v>
      </c>
      <c r="F865">
        <v>13</v>
      </c>
      <c r="G865">
        <v>27</v>
      </c>
      <c r="H865">
        <v>8</v>
      </c>
      <c r="I865">
        <v>8.9</v>
      </c>
    </row>
    <row r="866" spans="1:9" x14ac:dyDescent="0.3">
      <c r="A866">
        <v>341</v>
      </c>
      <c r="B866">
        <v>1148</v>
      </c>
      <c r="C866">
        <v>2025</v>
      </c>
      <c r="D866">
        <v>3</v>
      </c>
      <c r="E866">
        <v>3</v>
      </c>
      <c r="F866">
        <v>3</v>
      </c>
      <c r="G866">
        <v>22</v>
      </c>
      <c r="H866">
        <v>6</v>
      </c>
      <c r="I866">
        <v>6</v>
      </c>
    </row>
    <row r="867" spans="1:9" x14ac:dyDescent="0.3">
      <c r="A867">
        <v>342</v>
      </c>
      <c r="B867">
        <v>1149</v>
      </c>
      <c r="C867">
        <v>2025</v>
      </c>
      <c r="D867">
        <v>3</v>
      </c>
      <c r="E867">
        <v>6</v>
      </c>
      <c r="F867">
        <v>0</v>
      </c>
      <c r="G867">
        <v>25</v>
      </c>
      <c r="H867">
        <v>9</v>
      </c>
      <c r="I867">
        <v>5.4</v>
      </c>
    </row>
    <row r="868" spans="1:9" x14ac:dyDescent="0.3">
      <c r="A868">
        <v>345</v>
      </c>
      <c r="B868">
        <v>1150</v>
      </c>
      <c r="C868">
        <v>2025</v>
      </c>
      <c r="D868">
        <v>5</v>
      </c>
      <c r="E868">
        <v>7</v>
      </c>
      <c r="F868">
        <v>5</v>
      </c>
      <c r="G868">
        <v>29</v>
      </c>
      <c r="H868">
        <v>4</v>
      </c>
      <c r="I868">
        <v>12</v>
      </c>
    </row>
    <row r="869" spans="1:9" x14ac:dyDescent="0.3">
      <c r="A869">
        <v>348</v>
      </c>
      <c r="B869">
        <v>1151</v>
      </c>
      <c r="C869">
        <v>2025</v>
      </c>
      <c r="D869">
        <v>3</v>
      </c>
      <c r="E869">
        <v>8</v>
      </c>
      <c r="F869">
        <v>20</v>
      </c>
      <c r="G869">
        <v>18</v>
      </c>
      <c r="H869">
        <v>5</v>
      </c>
      <c r="I869">
        <v>5.2</v>
      </c>
    </row>
    <row r="870" spans="1:9" x14ac:dyDescent="0.3">
      <c r="A870">
        <v>351</v>
      </c>
      <c r="B870">
        <v>1154</v>
      </c>
      <c r="C870">
        <v>2025</v>
      </c>
      <c r="D870">
        <v>5</v>
      </c>
      <c r="E870">
        <v>8</v>
      </c>
      <c r="F870">
        <v>6</v>
      </c>
      <c r="G870">
        <v>32</v>
      </c>
      <c r="H870">
        <v>7</v>
      </c>
      <c r="I870">
        <v>12.4</v>
      </c>
    </row>
    <row r="871" spans="1:9" x14ac:dyDescent="0.3">
      <c r="A871">
        <v>354</v>
      </c>
      <c r="B871">
        <v>1155</v>
      </c>
      <c r="C871">
        <v>2025</v>
      </c>
      <c r="D871">
        <v>5</v>
      </c>
      <c r="E871">
        <v>7</v>
      </c>
      <c r="F871">
        <v>16</v>
      </c>
      <c r="G871">
        <v>35</v>
      </c>
      <c r="H871">
        <v>4</v>
      </c>
      <c r="I871">
        <v>11.6</v>
      </c>
    </row>
    <row r="872" spans="1:9" x14ac:dyDescent="0.3">
      <c r="A872">
        <v>357</v>
      </c>
      <c r="B872">
        <v>1156</v>
      </c>
      <c r="C872">
        <v>2025</v>
      </c>
      <c r="D872">
        <v>5</v>
      </c>
      <c r="E872">
        <v>7</v>
      </c>
      <c r="F872">
        <v>14</v>
      </c>
      <c r="G872">
        <v>21</v>
      </c>
      <c r="H872">
        <v>4</v>
      </c>
      <c r="I872">
        <v>12.5</v>
      </c>
    </row>
    <row r="873" spans="1:9" x14ac:dyDescent="0.3">
      <c r="A873">
        <v>360</v>
      </c>
      <c r="B873">
        <v>1157</v>
      </c>
      <c r="C873">
        <v>2025</v>
      </c>
      <c r="D873">
        <v>3</v>
      </c>
      <c r="E873">
        <v>8</v>
      </c>
      <c r="F873">
        <v>10</v>
      </c>
      <c r="G873">
        <v>21</v>
      </c>
      <c r="H873">
        <v>3</v>
      </c>
      <c r="I873">
        <v>3</v>
      </c>
    </row>
    <row r="874" spans="1:9" x14ac:dyDescent="0.3">
      <c r="A874">
        <v>363</v>
      </c>
      <c r="B874">
        <v>1158</v>
      </c>
      <c r="C874">
        <v>2025</v>
      </c>
      <c r="D874">
        <v>3</v>
      </c>
      <c r="E874">
        <v>1</v>
      </c>
      <c r="F874">
        <v>11</v>
      </c>
      <c r="G874">
        <v>3</v>
      </c>
      <c r="H874">
        <v>9</v>
      </c>
      <c r="I874">
        <v>3.9</v>
      </c>
    </row>
    <row r="875" spans="1:9" x14ac:dyDescent="0.3">
      <c r="A875">
        <v>366</v>
      </c>
      <c r="B875">
        <v>1160</v>
      </c>
      <c r="C875">
        <v>2025</v>
      </c>
      <c r="D875">
        <v>3</v>
      </c>
      <c r="E875">
        <v>5</v>
      </c>
      <c r="F875">
        <v>1</v>
      </c>
      <c r="G875">
        <v>26</v>
      </c>
      <c r="H875">
        <v>9</v>
      </c>
      <c r="I875">
        <v>4.7</v>
      </c>
    </row>
    <row r="876" spans="1:9" x14ac:dyDescent="0.3">
      <c r="A876">
        <v>369</v>
      </c>
      <c r="B876">
        <v>1161</v>
      </c>
      <c r="C876">
        <v>2025</v>
      </c>
      <c r="D876">
        <v>3</v>
      </c>
      <c r="E876">
        <v>6</v>
      </c>
      <c r="F876">
        <v>6</v>
      </c>
      <c r="G876">
        <v>8</v>
      </c>
      <c r="H876">
        <v>4</v>
      </c>
      <c r="I876">
        <v>4.2</v>
      </c>
    </row>
    <row r="877" spans="1:9" x14ac:dyDescent="0.3">
      <c r="A877">
        <v>372</v>
      </c>
      <c r="B877">
        <v>1163</v>
      </c>
      <c r="C877">
        <v>2025</v>
      </c>
      <c r="D877">
        <v>3</v>
      </c>
      <c r="E877">
        <v>8</v>
      </c>
      <c r="F877">
        <v>3</v>
      </c>
      <c r="G877">
        <v>31</v>
      </c>
      <c r="H877">
        <v>4</v>
      </c>
      <c r="I877">
        <v>8.1999999999999993</v>
      </c>
    </row>
    <row r="878" spans="1:9" x14ac:dyDescent="0.3">
      <c r="A878">
        <v>374</v>
      </c>
      <c r="B878">
        <v>1165</v>
      </c>
      <c r="C878">
        <v>2025</v>
      </c>
      <c r="D878">
        <v>5</v>
      </c>
      <c r="E878">
        <v>4</v>
      </c>
      <c r="F878">
        <v>9</v>
      </c>
      <c r="G878">
        <v>30</v>
      </c>
      <c r="H878">
        <v>4</v>
      </c>
      <c r="I878">
        <v>11</v>
      </c>
    </row>
    <row r="879" spans="1:9" x14ac:dyDescent="0.3">
      <c r="A879">
        <v>377</v>
      </c>
      <c r="B879">
        <v>1166</v>
      </c>
      <c r="C879">
        <v>2025</v>
      </c>
      <c r="D879">
        <v>4</v>
      </c>
      <c r="E879">
        <v>7</v>
      </c>
      <c r="F879">
        <v>17</v>
      </c>
      <c r="G879">
        <v>30</v>
      </c>
      <c r="H879">
        <v>2</v>
      </c>
      <c r="I879">
        <v>7.9</v>
      </c>
    </row>
    <row r="880" spans="1:9" x14ac:dyDescent="0.3">
      <c r="A880">
        <v>378</v>
      </c>
      <c r="B880">
        <v>1167</v>
      </c>
      <c r="C880">
        <v>2025</v>
      </c>
      <c r="D880">
        <v>3</v>
      </c>
      <c r="E880">
        <v>9</v>
      </c>
      <c r="F880">
        <v>1</v>
      </c>
      <c r="G880">
        <v>21</v>
      </c>
      <c r="H880">
        <v>7</v>
      </c>
      <c r="I880">
        <v>5.0999999999999996</v>
      </c>
    </row>
    <row r="881" spans="1:9" x14ac:dyDescent="0.3">
      <c r="A881">
        <v>381</v>
      </c>
      <c r="B881">
        <v>1169</v>
      </c>
      <c r="C881">
        <v>2025</v>
      </c>
      <c r="D881">
        <v>3</v>
      </c>
      <c r="E881">
        <v>5</v>
      </c>
      <c r="F881">
        <v>10</v>
      </c>
      <c r="G881">
        <v>52</v>
      </c>
      <c r="H881">
        <v>6</v>
      </c>
      <c r="I881">
        <v>5.2</v>
      </c>
    </row>
    <row r="882" spans="1:9" x14ac:dyDescent="0.3">
      <c r="A882">
        <v>382</v>
      </c>
      <c r="B882">
        <v>1170</v>
      </c>
      <c r="C882">
        <v>2025</v>
      </c>
      <c r="D882">
        <v>5</v>
      </c>
      <c r="E882">
        <v>8</v>
      </c>
      <c r="F882">
        <v>9</v>
      </c>
      <c r="G882">
        <v>15</v>
      </c>
      <c r="H882">
        <v>4</v>
      </c>
      <c r="I882">
        <v>11.6</v>
      </c>
    </row>
    <row r="883" spans="1:9" x14ac:dyDescent="0.3">
      <c r="A883">
        <v>385</v>
      </c>
      <c r="B883">
        <v>1171</v>
      </c>
      <c r="C883">
        <v>2025</v>
      </c>
      <c r="D883">
        <v>4</v>
      </c>
      <c r="E883">
        <v>7</v>
      </c>
      <c r="F883">
        <v>2</v>
      </c>
      <c r="G883">
        <v>16</v>
      </c>
      <c r="H883">
        <v>4</v>
      </c>
      <c r="I883">
        <v>8.4</v>
      </c>
    </row>
    <row r="884" spans="1:9" x14ac:dyDescent="0.3">
      <c r="A884">
        <v>388</v>
      </c>
      <c r="B884">
        <v>1172</v>
      </c>
      <c r="C884">
        <v>2025</v>
      </c>
      <c r="D884">
        <v>3</v>
      </c>
      <c r="E884">
        <v>5</v>
      </c>
      <c r="F884">
        <v>4</v>
      </c>
      <c r="G884">
        <v>13</v>
      </c>
      <c r="H884">
        <v>7</v>
      </c>
      <c r="I884">
        <v>6.6</v>
      </c>
    </row>
    <row r="885" spans="1:9" x14ac:dyDescent="0.3">
      <c r="A885">
        <v>391</v>
      </c>
      <c r="B885">
        <v>1173</v>
      </c>
      <c r="C885">
        <v>2025</v>
      </c>
      <c r="D885">
        <v>4</v>
      </c>
      <c r="E885">
        <v>5</v>
      </c>
      <c r="F885">
        <v>0</v>
      </c>
      <c r="G885">
        <v>39</v>
      </c>
      <c r="H885">
        <v>7</v>
      </c>
      <c r="I885">
        <v>6.8</v>
      </c>
    </row>
    <row r="886" spans="1:9" x14ac:dyDescent="0.3">
      <c r="A886">
        <v>394</v>
      </c>
      <c r="B886">
        <v>1174</v>
      </c>
      <c r="C886">
        <v>2025</v>
      </c>
      <c r="D886">
        <v>5</v>
      </c>
      <c r="E886">
        <v>5</v>
      </c>
      <c r="F886">
        <v>13</v>
      </c>
      <c r="G886">
        <v>24</v>
      </c>
      <c r="H886">
        <v>1</v>
      </c>
      <c r="I886">
        <v>12.7</v>
      </c>
    </row>
    <row r="887" spans="1:9" x14ac:dyDescent="0.3">
      <c r="A887">
        <v>397</v>
      </c>
      <c r="B887">
        <v>1175</v>
      </c>
      <c r="C887">
        <v>2025</v>
      </c>
      <c r="E887">
        <v>7</v>
      </c>
      <c r="F887">
        <v>7</v>
      </c>
      <c r="G887">
        <v>15</v>
      </c>
      <c r="H887">
        <v>2</v>
      </c>
      <c r="I887">
        <v>2.2000000000000002</v>
      </c>
    </row>
    <row r="888" spans="1:9" x14ac:dyDescent="0.3">
      <c r="A888">
        <v>400</v>
      </c>
      <c r="B888">
        <v>1176</v>
      </c>
      <c r="C888">
        <v>2025</v>
      </c>
      <c r="D888">
        <v>2</v>
      </c>
      <c r="E888">
        <v>6</v>
      </c>
      <c r="F888">
        <v>0</v>
      </c>
      <c r="G888">
        <v>21</v>
      </c>
      <c r="H888">
        <v>0</v>
      </c>
      <c r="I888">
        <v>0.3</v>
      </c>
    </row>
    <row r="889" spans="1:9" x14ac:dyDescent="0.3">
      <c r="A889">
        <v>403</v>
      </c>
      <c r="B889">
        <v>1177</v>
      </c>
      <c r="C889">
        <v>2025</v>
      </c>
      <c r="D889">
        <v>5</v>
      </c>
      <c r="E889">
        <v>6</v>
      </c>
      <c r="F889">
        <v>1</v>
      </c>
      <c r="G889">
        <v>10</v>
      </c>
      <c r="H889">
        <v>8</v>
      </c>
      <c r="I889">
        <v>11.7</v>
      </c>
    </row>
    <row r="890" spans="1:9" x14ac:dyDescent="0.3">
      <c r="A890">
        <v>406</v>
      </c>
      <c r="B890">
        <v>1178</v>
      </c>
      <c r="C890">
        <v>2025</v>
      </c>
      <c r="D890">
        <v>3</v>
      </c>
      <c r="F890">
        <v>0</v>
      </c>
      <c r="G890">
        <v>35</v>
      </c>
      <c r="H890">
        <v>5</v>
      </c>
      <c r="I890">
        <v>7.4</v>
      </c>
    </row>
    <row r="891" spans="1:9" x14ac:dyDescent="0.3">
      <c r="A891">
        <v>409</v>
      </c>
      <c r="B891">
        <v>1179</v>
      </c>
      <c r="C891">
        <v>2025</v>
      </c>
      <c r="D891">
        <v>4</v>
      </c>
      <c r="E891">
        <v>9</v>
      </c>
      <c r="F891">
        <v>1</v>
      </c>
      <c r="G891">
        <v>20</v>
      </c>
      <c r="H891">
        <v>2</v>
      </c>
      <c r="I891">
        <v>6.7</v>
      </c>
    </row>
    <row r="892" spans="1:9" x14ac:dyDescent="0.3">
      <c r="A892">
        <v>412</v>
      </c>
      <c r="B892">
        <v>1180</v>
      </c>
      <c r="C892">
        <v>2025</v>
      </c>
      <c r="D892">
        <v>4</v>
      </c>
      <c r="E892">
        <v>6</v>
      </c>
      <c r="F892">
        <v>5</v>
      </c>
      <c r="G892">
        <v>44</v>
      </c>
      <c r="H892">
        <v>3</v>
      </c>
      <c r="I892">
        <v>9.1</v>
      </c>
    </row>
    <row r="893" spans="1:9" x14ac:dyDescent="0.3">
      <c r="A893">
        <v>415</v>
      </c>
      <c r="B893">
        <v>1181</v>
      </c>
      <c r="C893">
        <v>2025</v>
      </c>
      <c r="D893">
        <v>3</v>
      </c>
      <c r="E893">
        <v>8</v>
      </c>
      <c r="F893">
        <v>6</v>
      </c>
      <c r="G893">
        <v>18</v>
      </c>
      <c r="H893">
        <v>4</v>
      </c>
      <c r="I893">
        <v>5.7</v>
      </c>
    </row>
    <row r="894" spans="1:9" x14ac:dyDescent="0.3">
      <c r="A894">
        <v>418</v>
      </c>
      <c r="B894">
        <v>1182</v>
      </c>
      <c r="C894">
        <v>2025</v>
      </c>
      <c r="D894">
        <v>5</v>
      </c>
      <c r="E894">
        <v>7</v>
      </c>
      <c r="F894">
        <v>12</v>
      </c>
      <c r="G894">
        <v>28</v>
      </c>
      <c r="H894">
        <v>3</v>
      </c>
      <c r="I894">
        <v>13.7</v>
      </c>
    </row>
    <row r="895" spans="1:9" x14ac:dyDescent="0.3">
      <c r="A895">
        <v>421</v>
      </c>
      <c r="B895">
        <v>1183</v>
      </c>
      <c r="C895">
        <v>2025</v>
      </c>
      <c r="D895">
        <v>5</v>
      </c>
      <c r="E895">
        <v>9</v>
      </c>
      <c r="F895">
        <v>0</v>
      </c>
      <c r="G895">
        <v>20</v>
      </c>
      <c r="H895">
        <v>2</v>
      </c>
      <c r="I895">
        <v>10.6</v>
      </c>
    </row>
    <row r="896" spans="1:9" x14ac:dyDescent="0.3">
      <c r="A896">
        <v>423</v>
      </c>
      <c r="B896">
        <v>1184</v>
      </c>
      <c r="C896">
        <v>2025</v>
      </c>
      <c r="D896">
        <v>4</v>
      </c>
      <c r="E896">
        <v>7</v>
      </c>
      <c r="F896">
        <v>14</v>
      </c>
      <c r="G896">
        <v>49</v>
      </c>
      <c r="H896">
        <v>7</v>
      </c>
      <c r="I896">
        <v>8.1</v>
      </c>
    </row>
    <row r="897" spans="1:9" x14ac:dyDescent="0.3">
      <c r="A897">
        <v>426</v>
      </c>
      <c r="B897">
        <v>1185</v>
      </c>
      <c r="C897">
        <v>2025</v>
      </c>
      <c r="D897">
        <v>5</v>
      </c>
      <c r="E897">
        <v>4</v>
      </c>
      <c r="F897">
        <v>6</v>
      </c>
      <c r="G897">
        <v>38</v>
      </c>
      <c r="H897">
        <v>7</v>
      </c>
      <c r="I897">
        <v>12.4</v>
      </c>
    </row>
    <row r="898" spans="1:9" x14ac:dyDescent="0.3">
      <c r="A898">
        <v>429</v>
      </c>
      <c r="B898">
        <v>1187</v>
      </c>
      <c r="C898">
        <v>2025</v>
      </c>
      <c r="D898">
        <v>5</v>
      </c>
      <c r="E898">
        <v>8</v>
      </c>
      <c r="F898">
        <v>12</v>
      </c>
      <c r="G898">
        <v>30</v>
      </c>
      <c r="H898">
        <v>4</v>
      </c>
      <c r="I898">
        <v>11.2</v>
      </c>
    </row>
    <row r="899" spans="1:9" x14ac:dyDescent="0.3">
      <c r="A899">
        <v>430</v>
      </c>
      <c r="B899">
        <v>1188</v>
      </c>
      <c r="C899">
        <v>2025</v>
      </c>
      <c r="D899">
        <v>3</v>
      </c>
      <c r="E899">
        <v>1</v>
      </c>
      <c r="F899">
        <v>0</v>
      </c>
      <c r="G899">
        <v>43</v>
      </c>
      <c r="H899">
        <v>2</v>
      </c>
      <c r="I899">
        <v>4.2</v>
      </c>
    </row>
    <row r="900" spans="1:9" x14ac:dyDescent="0.3">
      <c r="A900">
        <v>433</v>
      </c>
      <c r="B900">
        <v>1189</v>
      </c>
      <c r="C900">
        <v>2025</v>
      </c>
      <c r="D900">
        <v>4</v>
      </c>
      <c r="E900">
        <v>9</v>
      </c>
      <c r="F900">
        <v>0</v>
      </c>
      <c r="G900">
        <v>33</v>
      </c>
      <c r="H900">
        <v>7</v>
      </c>
      <c r="I900">
        <v>7.7</v>
      </c>
    </row>
    <row r="901" spans="1:9" x14ac:dyDescent="0.3">
      <c r="A901">
        <v>435</v>
      </c>
      <c r="B901">
        <v>1191</v>
      </c>
      <c r="C901">
        <v>2025</v>
      </c>
      <c r="D901">
        <v>4</v>
      </c>
      <c r="E901">
        <v>9</v>
      </c>
      <c r="F901">
        <v>3</v>
      </c>
      <c r="G901">
        <v>30</v>
      </c>
      <c r="H901">
        <v>1</v>
      </c>
      <c r="I901">
        <v>6.1</v>
      </c>
    </row>
    <row r="902" spans="1:9" x14ac:dyDescent="0.3">
      <c r="A902">
        <v>438</v>
      </c>
      <c r="B902">
        <v>1192</v>
      </c>
      <c r="C902">
        <v>2025</v>
      </c>
      <c r="D902">
        <v>3</v>
      </c>
      <c r="E902">
        <v>2</v>
      </c>
      <c r="F902">
        <v>11</v>
      </c>
      <c r="G902">
        <v>5</v>
      </c>
      <c r="H902">
        <v>11</v>
      </c>
      <c r="I902">
        <v>5.6</v>
      </c>
    </row>
    <row r="903" spans="1:9" x14ac:dyDescent="0.3">
      <c r="A903">
        <v>441</v>
      </c>
      <c r="B903">
        <v>1193</v>
      </c>
      <c r="C903">
        <v>2025</v>
      </c>
      <c r="D903">
        <v>4</v>
      </c>
      <c r="E903">
        <v>7</v>
      </c>
      <c r="F903">
        <v>27</v>
      </c>
      <c r="G903">
        <v>37</v>
      </c>
      <c r="H903">
        <v>4</v>
      </c>
      <c r="I903">
        <v>11.1</v>
      </c>
    </row>
    <row r="904" spans="1:9" x14ac:dyDescent="0.3">
      <c r="A904">
        <v>444</v>
      </c>
      <c r="B904">
        <v>1194</v>
      </c>
      <c r="C904">
        <v>2025</v>
      </c>
      <c r="D904">
        <v>4</v>
      </c>
      <c r="E904">
        <v>5</v>
      </c>
      <c r="F904">
        <v>17</v>
      </c>
      <c r="G904">
        <v>31</v>
      </c>
      <c r="H904">
        <v>5</v>
      </c>
      <c r="I904">
        <v>7.7</v>
      </c>
    </row>
    <row r="905" spans="1:9" x14ac:dyDescent="0.3">
      <c r="A905">
        <v>447</v>
      </c>
      <c r="B905">
        <v>1195</v>
      </c>
      <c r="C905">
        <v>2025</v>
      </c>
      <c r="D905">
        <v>2</v>
      </c>
      <c r="E905">
        <v>9</v>
      </c>
      <c r="F905">
        <v>21</v>
      </c>
      <c r="G905">
        <v>37</v>
      </c>
      <c r="H905">
        <v>1</v>
      </c>
      <c r="I905">
        <v>1.1000000000000001</v>
      </c>
    </row>
    <row r="906" spans="1:9" x14ac:dyDescent="0.3">
      <c r="A906">
        <v>450</v>
      </c>
      <c r="B906">
        <v>1196</v>
      </c>
      <c r="C906">
        <v>2025</v>
      </c>
      <c r="D906">
        <v>4</v>
      </c>
      <c r="E906">
        <v>7</v>
      </c>
      <c r="F906">
        <v>1</v>
      </c>
      <c r="G906">
        <v>43</v>
      </c>
      <c r="H906">
        <v>4</v>
      </c>
      <c r="I906">
        <v>7.9</v>
      </c>
    </row>
    <row r="907" spans="1:9" x14ac:dyDescent="0.3">
      <c r="A907">
        <v>452</v>
      </c>
      <c r="B907">
        <v>1197</v>
      </c>
      <c r="C907">
        <v>2025</v>
      </c>
      <c r="D907">
        <v>4</v>
      </c>
      <c r="E907">
        <v>7</v>
      </c>
      <c r="F907">
        <v>8</v>
      </c>
      <c r="G907">
        <v>19</v>
      </c>
      <c r="H907">
        <v>1</v>
      </c>
      <c r="I907">
        <v>7.8</v>
      </c>
    </row>
    <row r="908" spans="1:9" x14ac:dyDescent="0.3">
      <c r="A908">
        <v>455</v>
      </c>
      <c r="B908">
        <v>1198</v>
      </c>
      <c r="C908">
        <v>2025</v>
      </c>
      <c r="D908">
        <v>4</v>
      </c>
      <c r="E908">
        <v>6</v>
      </c>
      <c r="F908">
        <v>4</v>
      </c>
      <c r="G908">
        <v>26</v>
      </c>
      <c r="H908">
        <v>5</v>
      </c>
      <c r="I908">
        <v>8.8000000000000007</v>
      </c>
    </row>
    <row r="909" spans="1:9" x14ac:dyDescent="0.3">
      <c r="A909">
        <v>458</v>
      </c>
      <c r="B909">
        <v>1199</v>
      </c>
      <c r="C909">
        <v>2025</v>
      </c>
      <c r="D909">
        <v>3</v>
      </c>
      <c r="E909">
        <v>5</v>
      </c>
      <c r="F909">
        <v>8</v>
      </c>
      <c r="G909">
        <v>0</v>
      </c>
      <c r="H909">
        <v>5</v>
      </c>
      <c r="I909">
        <v>5</v>
      </c>
    </row>
    <row r="910" spans="1:9" x14ac:dyDescent="0.3">
      <c r="A910">
        <v>461</v>
      </c>
      <c r="B910">
        <v>1200</v>
      </c>
      <c r="C910">
        <v>2025</v>
      </c>
      <c r="D910">
        <v>4</v>
      </c>
      <c r="E910">
        <v>7</v>
      </c>
      <c r="F910">
        <v>0</v>
      </c>
      <c r="G910">
        <v>8</v>
      </c>
      <c r="H910">
        <v>6</v>
      </c>
      <c r="I910">
        <v>8.9</v>
      </c>
    </row>
    <row r="911" spans="1:9" x14ac:dyDescent="0.3">
      <c r="A911">
        <v>464</v>
      </c>
      <c r="B911">
        <v>1201</v>
      </c>
      <c r="C911">
        <v>2025</v>
      </c>
      <c r="D911">
        <v>5</v>
      </c>
      <c r="E911">
        <v>10</v>
      </c>
      <c r="F911">
        <v>0</v>
      </c>
      <c r="G911">
        <v>35</v>
      </c>
      <c r="H911">
        <v>2</v>
      </c>
      <c r="I911">
        <v>10.3</v>
      </c>
    </row>
    <row r="912" spans="1:9" x14ac:dyDescent="0.3">
      <c r="A912">
        <v>467</v>
      </c>
      <c r="B912">
        <v>1202</v>
      </c>
      <c r="C912">
        <v>2025</v>
      </c>
      <c r="D912">
        <v>5</v>
      </c>
      <c r="E912">
        <v>5</v>
      </c>
      <c r="F912">
        <v>10</v>
      </c>
      <c r="G912">
        <v>24</v>
      </c>
      <c r="H912">
        <v>10</v>
      </c>
      <c r="I912">
        <v>13.5</v>
      </c>
    </row>
    <row r="913" spans="1:9" x14ac:dyDescent="0.3">
      <c r="A913">
        <v>470</v>
      </c>
      <c r="B913">
        <v>1203</v>
      </c>
      <c r="C913">
        <v>2025</v>
      </c>
      <c r="D913">
        <v>4</v>
      </c>
      <c r="E913">
        <v>5</v>
      </c>
      <c r="F913">
        <v>5</v>
      </c>
      <c r="G913">
        <v>14</v>
      </c>
      <c r="H913">
        <v>9</v>
      </c>
      <c r="I913">
        <v>8.4</v>
      </c>
    </row>
    <row r="914" spans="1:9" x14ac:dyDescent="0.3">
      <c r="A914">
        <v>472</v>
      </c>
      <c r="B914">
        <v>1205</v>
      </c>
      <c r="C914">
        <v>2025</v>
      </c>
      <c r="D914">
        <v>2</v>
      </c>
      <c r="E914">
        <v>6</v>
      </c>
      <c r="F914">
        <v>13</v>
      </c>
      <c r="G914">
        <v>18</v>
      </c>
      <c r="H914">
        <v>3</v>
      </c>
      <c r="I914">
        <v>0.7</v>
      </c>
    </row>
    <row r="915" spans="1:9" x14ac:dyDescent="0.3">
      <c r="A915">
        <v>476</v>
      </c>
      <c r="B915">
        <v>1207</v>
      </c>
      <c r="C915">
        <v>2025</v>
      </c>
      <c r="D915">
        <v>4</v>
      </c>
      <c r="E915">
        <v>7</v>
      </c>
      <c r="F915">
        <v>8</v>
      </c>
      <c r="G915">
        <v>32</v>
      </c>
      <c r="H915">
        <v>4</v>
      </c>
      <c r="I915">
        <v>6.7</v>
      </c>
    </row>
    <row r="916" spans="1:9" x14ac:dyDescent="0.3">
      <c r="A916">
        <v>479</v>
      </c>
      <c r="B916">
        <v>1208</v>
      </c>
      <c r="C916">
        <v>2025</v>
      </c>
      <c r="D916">
        <v>4</v>
      </c>
      <c r="E916">
        <v>7</v>
      </c>
      <c r="F916">
        <v>8</v>
      </c>
      <c r="G916">
        <v>29</v>
      </c>
      <c r="H916">
        <v>4</v>
      </c>
      <c r="I916">
        <v>7.3</v>
      </c>
    </row>
    <row r="917" spans="1:9" x14ac:dyDescent="0.3">
      <c r="A917">
        <v>482</v>
      </c>
      <c r="B917">
        <v>1209</v>
      </c>
      <c r="C917">
        <v>2025</v>
      </c>
      <c r="D917">
        <v>3</v>
      </c>
      <c r="E917">
        <v>3</v>
      </c>
      <c r="F917">
        <v>23</v>
      </c>
      <c r="G917">
        <v>32</v>
      </c>
      <c r="H917">
        <v>7</v>
      </c>
      <c r="I917">
        <v>5.4</v>
      </c>
    </row>
    <row r="918" spans="1:9" x14ac:dyDescent="0.3">
      <c r="A918">
        <v>484</v>
      </c>
      <c r="B918">
        <v>1210</v>
      </c>
      <c r="C918">
        <v>2025</v>
      </c>
      <c r="D918">
        <v>4</v>
      </c>
      <c r="E918">
        <v>6</v>
      </c>
      <c r="F918">
        <v>0</v>
      </c>
      <c r="G918">
        <v>12</v>
      </c>
      <c r="H918">
        <v>5</v>
      </c>
      <c r="I918">
        <v>5.6</v>
      </c>
    </row>
    <row r="919" spans="1:9" x14ac:dyDescent="0.3">
      <c r="A919">
        <v>487</v>
      </c>
      <c r="B919">
        <v>1211</v>
      </c>
      <c r="C919">
        <v>2025</v>
      </c>
      <c r="D919">
        <v>2</v>
      </c>
      <c r="E919">
        <v>10</v>
      </c>
      <c r="F919">
        <v>1</v>
      </c>
      <c r="G919">
        <v>32</v>
      </c>
      <c r="H919">
        <v>2</v>
      </c>
      <c r="I919">
        <v>2.2999999999999998</v>
      </c>
    </row>
    <row r="920" spans="1:9" x14ac:dyDescent="0.3">
      <c r="A920">
        <v>490</v>
      </c>
      <c r="B920">
        <v>1212</v>
      </c>
      <c r="C920">
        <v>2025</v>
      </c>
      <c r="D920">
        <v>4</v>
      </c>
      <c r="E920">
        <v>10</v>
      </c>
      <c r="F920">
        <v>15</v>
      </c>
      <c r="G920">
        <v>23</v>
      </c>
      <c r="H920">
        <v>1</v>
      </c>
      <c r="I920">
        <v>7.8</v>
      </c>
    </row>
    <row r="921" spans="1:9" x14ac:dyDescent="0.3">
      <c r="A921">
        <v>491</v>
      </c>
      <c r="B921">
        <v>1213</v>
      </c>
      <c r="C921">
        <v>2025</v>
      </c>
      <c r="D921">
        <v>3</v>
      </c>
      <c r="E921">
        <v>10</v>
      </c>
      <c r="F921">
        <v>14</v>
      </c>
      <c r="G921">
        <v>41</v>
      </c>
      <c r="H921">
        <v>2</v>
      </c>
      <c r="I921">
        <v>5.6</v>
      </c>
    </row>
    <row r="922" spans="1:9" x14ac:dyDescent="0.3">
      <c r="A922">
        <v>494</v>
      </c>
      <c r="B922">
        <v>1214</v>
      </c>
      <c r="C922">
        <v>2025</v>
      </c>
      <c r="D922">
        <v>4</v>
      </c>
      <c r="E922">
        <v>7</v>
      </c>
      <c r="F922">
        <v>7</v>
      </c>
      <c r="G922">
        <v>29</v>
      </c>
      <c r="H922">
        <v>4</v>
      </c>
      <c r="I922">
        <v>7.1</v>
      </c>
    </row>
    <row r="923" spans="1:9" x14ac:dyDescent="0.3">
      <c r="A923">
        <v>497</v>
      </c>
      <c r="B923">
        <v>1215</v>
      </c>
      <c r="C923">
        <v>2025</v>
      </c>
      <c r="D923">
        <v>3</v>
      </c>
      <c r="E923">
        <v>8</v>
      </c>
      <c r="F923">
        <v>0</v>
      </c>
      <c r="G923">
        <v>14</v>
      </c>
      <c r="H923">
        <v>3</v>
      </c>
      <c r="I923">
        <v>4.3</v>
      </c>
    </row>
    <row r="924" spans="1:9" x14ac:dyDescent="0.3">
      <c r="A924">
        <v>500</v>
      </c>
      <c r="B924">
        <v>1216</v>
      </c>
      <c r="C924">
        <v>2025</v>
      </c>
      <c r="D924">
        <v>3</v>
      </c>
      <c r="E924">
        <v>9</v>
      </c>
      <c r="F924">
        <v>0</v>
      </c>
      <c r="G924">
        <v>17</v>
      </c>
      <c r="H924">
        <v>5</v>
      </c>
      <c r="I924">
        <v>4.9000000000000004</v>
      </c>
    </row>
    <row r="925" spans="1:9" x14ac:dyDescent="0.3">
      <c r="A925">
        <v>503</v>
      </c>
      <c r="B925">
        <v>1217</v>
      </c>
      <c r="C925">
        <v>2025</v>
      </c>
      <c r="D925">
        <v>3</v>
      </c>
      <c r="E925">
        <v>8</v>
      </c>
      <c r="F925">
        <v>14</v>
      </c>
      <c r="G925">
        <v>19</v>
      </c>
      <c r="H925">
        <v>3</v>
      </c>
      <c r="I925">
        <v>4.0999999999999996</v>
      </c>
    </row>
    <row r="926" spans="1:9" x14ac:dyDescent="0.3">
      <c r="A926">
        <v>506</v>
      </c>
      <c r="B926">
        <v>1218</v>
      </c>
      <c r="C926">
        <v>2025</v>
      </c>
      <c r="D926">
        <v>3</v>
      </c>
      <c r="E926">
        <v>6</v>
      </c>
      <c r="F926">
        <v>7</v>
      </c>
      <c r="G926">
        <v>25</v>
      </c>
      <c r="H926">
        <v>8</v>
      </c>
      <c r="I926">
        <v>5.4</v>
      </c>
    </row>
    <row r="927" spans="1:9" x14ac:dyDescent="0.3">
      <c r="A927">
        <v>507</v>
      </c>
      <c r="B927">
        <v>1219</v>
      </c>
      <c r="C927">
        <v>2025</v>
      </c>
      <c r="D927">
        <v>5</v>
      </c>
      <c r="E927">
        <v>8</v>
      </c>
      <c r="F927">
        <v>4</v>
      </c>
      <c r="G927">
        <v>31</v>
      </c>
      <c r="H927">
        <v>4</v>
      </c>
      <c r="I927">
        <v>12.3</v>
      </c>
    </row>
    <row r="928" spans="1:9" x14ac:dyDescent="0.3">
      <c r="A928">
        <v>509</v>
      </c>
      <c r="B928">
        <v>1221</v>
      </c>
      <c r="C928">
        <v>2025</v>
      </c>
      <c r="D928">
        <v>3</v>
      </c>
      <c r="E928">
        <v>5</v>
      </c>
      <c r="F928">
        <v>5</v>
      </c>
      <c r="G928">
        <v>23</v>
      </c>
      <c r="H928">
        <v>12</v>
      </c>
      <c r="I928">
        <v>4</v>
      </c>
    </row>
    <row r="929" spans="1:9" x14ac:dyDescent="0.3">
      <c r="A929">
        <v>512</v>
      </c>
      <c r="B929">
        <v>1224</v>
      </c>
      <c r="C929">
        <v>2025</v>
      </c>
      <c r="D929">
        <v>3</v>
      </c>
      <c r="E929">
        <v>4</v>
      </c>
      <c r="F929">
        <v>12</v>
      </c>
      <c r="G929">
        <v>35</v>
      </c>
      <c r="H929">
        <v>5</v>
      </c>
      <c r="I929">
        <v>5.5</v>
      </c>
    </row>
    <row r="930" spans="1:9" x14ac:dyDescent="0.3">
      <c r="A930">
        <v>515</v>
      </c>
      <c r="B930">
        <v>1225</v>
      </c>
      <c r="C930">
        <v>2025</v>
      </c>
      <c r="D930">
        <v>3</v>
      </c>
      <c r="E930">
        <v>7</v>
      </c>
      <c r="F930">
        <v>0</v>
      </c>
      <c r="G930">
        <v>19</v>
      </c>
      <c r="H930">
        <v>4</v>
      </c>
      <c r="I930">
        <v>6.7</v>
      </c>
    </row>
    <row r="931" spans="1:9" x14ac:dyDescent="0.3">
      <c r="A931">
        <v>518</v>
      </c>
      <c r="B931">
        <v>1226</v>
      </c>
      <c r="C931">
        <v>2025</v>
      </c>
      <c r="D931">
        <v>3</v>
      </c>
      <c r="E931">
        <v>6</v>
      </c>
      <c r="F931">
        <v>0</v>
      </c>
      <c r="G931">
        <v>17</v>
      </c>
      <c r="H931">
        <v>5</v>
      </c>
      <c r="I931">
        <v>3</v>
      </c>
    </row>
    <row r="932" spans="1:9" x14ac:dyDescent="0.3">
      <c r="A932">
        <v>521</v>
      </c>
      <c r="B932">
        <v>1227</v>
      </c>
      <c r="C932">
        <v>2025</v>
      </c>
      <c r="D932">
        <v>3</v>
      </c>
      <c r="E932">
        <v>3</v>
      </c>
      <c r="F932">
        <v>6</v>
      </c>
      <c r="G932">
        <v>44</v>
      </c>
      <c r="H932">
        <v>5</v>
      </c>
      <c r="I932">
        <v>3.7</v>
      </c>
    </row>
    <row r="933" spans="1:9" x14ac:dyDescent="0.3">
      <c r="A933">
        <v>525</v>
      </c>
      <c r="B933">
        <v>1229</v>
      </c>
      <c r="C933">
        <v>2025</v>
      </c>
      <c r="D933">
        <v>4</v>
      </c>
      <c r="E933">
        <v>6</v>
      </c>
      <c r="F933">
        <v>11</v>
      </c>
      <c r="G933">
        <v>16</v>
      </c>
      <c r="H933">
        <v>3</v>
      </c>
      <c r="I933">
        <v>8.8000000000000007</v>
      </c>
    </row>
    <row r="934" spans="1:9" x14ac:dyDescent="0.3">
      <c r="A934">
        <v>528</v>
      </c>
      <c r="B934">
        <v>1230</v>
      </c>
      <c r="C934">
        <v>2025</v>
      </c>
      <c r="D934">
        <v>5</v>
      </c>
      <c r="E934">
        <v>6</v>
      </c>
      <c r="F934">
        <v>25</v>
      </c>
      <c r="G934">
        <v>33</v>
      </c>
      <c r="H934">
        <v>3</v>
      </c>
      <c r="I934">
        <v>11.9</v>
      </c>
    </row>
    <row r="935" spans="1:9" x14ac:dyDescent="0.3">
      <c r="A935">
        <v>531</v>
      </c>
      <c r="B935">
        <v>1231</v>
      </c>
      <c r="C935">
        <v>2025</v>
      </c>
      <c r="D935">
        <v>4</v>
      </c>
      <c r="E935">
        <v>6</v>
      </c>
      <c r="F935">
        <v>5</v>
      </c>
      <c r="G935">
        <v>16</v>
      </c>
      <c r="H935">
        <v>3</v>
      </c>
      <c r="I935">
        <v>8.5</v>
      </c>
    </row>
    <row r="936" spans="1:9" x14ac:dyDescent="0.3">
      <c r="A936">
        <v>532</v>
      </c>
      <c r="B936">
        <v>1232</v>
      </c>
      <c r="C936">
        <v>2025</v>
      </c>
      <c r="D936">
        <v>3</v>
      </c>
      <c r="E936">
        <v>5</v>
      </c>
      <c r="F936">
        <v>6</v>
      </c>
      <c r="G936">
        <v>12</v>
      </c>
      <c r="H936">
        <v>4</v>
      </c>
      <c r="I936">
        <v>5.8</v>
      </c>
    </row>
    <row r="937" spans="1:9" x14ac:dyDescent="0.3">
      <c r="A937">
        <v>535</v>
      </c>
      <c r="B937">
        <v>1233</v>
      </c>
      <c r="C937">
        <v>2025</v>
      </c>
      <c r="D937">
        <v>3</v>
      </c>
      <c r="E937">
        <v>5</v>
      </c>
      <c r="F937">
        <v>0</v>
      </c>
      <c r="G937">
        <v>22</v>
      </c>
      <c r="H937">
        <v>7</v>
      </c>
      <c r="I937">
        <v>4.5</v>
      </c>
    </row>
    <row r="938" spans="1:9" x14ac:dyDescent="0.3">
      <c r="A938">
        <v>539</v>
      </c>
      <c r="B938">
        <v>1235</v>
      </c>
      <c r="C938">
        <v>2025</v>
      </c>
      <c r="D938">
        <v>3</v>
      </c>
      <c r="E938">
        <v>4</v>
      </c>
      <c r="F938">
        <v>15</v>
      </c>
      <c r="G938">
        <v>18</v>
      </c>
      <c r="H938">
        <v>9</v>
      </c>
      <c r="I938">
        <v>5.2</v>
      </c>
    </row>
    <row r="939" spans="1:9" x14ac:dyDescent="0.3">
      <c r="A939">
        <v>542</v>
      </c>
      <c r="B939">
        <v>1236</v>
      </c>
      <c r="C939">
        <v>2025</v>
      </c>
      <c r="D939">
        <v>4</v>
      </c>
      <c r="E939">
        <v>6</v>
      </c>
      <c r="F939">
        <v>5</v>
      </c>
      <c r="G939">
        <v>18</v>
      </c>
      <c r="H939">
        <v>6</v>
      </c>
      <c r="I939">
        <v>8.3000000000000007</v>
      </c>
    </row>
    <row r="940" spans="1:9" x14ac:dyDescent="0.3">
      <c r="A940">
        <v>545</v>
      </c>
      <c r="B940">
        <v>1237</v>
      </c>
      <c r="C940">
        <v>2025</v>
      </c>
      <c r="D940">
        <v>5</v>
      </c>
      <c r="E940">
        <v>7</v>
      </c>
      <c r="F940">
        <v>2</v>
      </c>
      <c r="G940">
        <v>14</v>
      </c>
      <c r="H940">
        <v>3</v>
      </c>
      <c r="I940">
        <v>10.8</v>
      </c>
    </row>
    <row r="941" spans="1:9" x14ac:dyDescent="0.3">
      <c r="A941">
        <v>550</v>
      </c>
      <c r="B941">
        <v>1240</v>
      </c>
      <c r="C941">
        <v>2025</v>
      </c>
      <c r="D941">
        <v>3</v>
      </c>
      <c r="E941">
        <v>9</v>
      </c>
      <c r="F941">
        <v>10</v>
      </c>
      <c r="G941">
        <v>20</v>
      </c>
      <c r="H941">
        <v>1</v>
      </c>
      <c r="I941">
        <v>2.6</v>
      </c>
    </row>
    <row r="942" spans="1:9" x14ac:dyDescent="0.3">
      <c r="A942">
        <v>553</v>
      </c>
      <c r="B942">
        <v>1241</v>
      </c>
      <c r="C942">
        <v>2025</v>
      </c>
      <c r="D942">
        <v>2</v>
      </c>
      <c r="E942">
        <v>4</v>
      </c>
      <c r="F942">
        <v>11</v>
      </c>
      <c r="G942">
        <v>21</v>
      </c>
      <c r="H942">
        <v>7</v>
      </c>
      <c r="I942">
        <v>2.4</v>
      </c>
    </row>
    <row r="943" spans="1:9" x14ac:dyDescent="0.3">
      <c r="A943">
        <v>556</v>
      </c>
      <c r="B943">
        <v>1242</v>
      </c>
      <c r="C943">
        <v>2025</v>
      </c>
      <c r="E943">
        <v>4</v>
      </c>
      <c r="F943">
        <v>8</v>
      </c>
      <c r="G943">
        <v>9</v>
      </c>
      <c r="H943">
        <v>5</v>
      </c>
      <c r="I943">
        <v>5.0999999999999996</v>
      </c>
    </row>
    <row r="944" spans="1:9" x14ac:dyDescent="0.3">
      <c r="A944">
        <v>558</v>
      </c>
      <c r="B944">
        <v>1243</v>
      </c>
      <c r="C944">
        <v>2025</v>
      </c>
      <c r="D944">
        <v>3</v>
      </c>
      <c r="E944">
        <v>7</v>
      </c>
      <c r="F944">
        <v>19</v>
      </c>
      <c r="G944">
        <v>36</v>
      </c>
      <c r="H944">
        <v>9</v>
      </c>
      <c r="I944">
        <v>4.5999999999999996</v>
      </c>
    </row>
    <row r="945" spans="1:9" x14ac:dyDescent="0.3">
      <c r="A945">
        <v>561</v>
      </c>
      <c r="B945">
        <v>1245</v>
      </c>
      <c r="C945">
        <v>2025</v>
      </c>
      <c r="D945">
        <v>3</v>
      </c>
      <c r="E945">
        <v>7</v>
      </c>
      <c r="F945">
        <v>4</v>
      </c>
      <c r="G945">
        <v>21</v>
      </c>
      <c r="H945">
        <v>3</v>
      </c>
      <c r="I945">
        <v>5.5</v>
      </c>
    </row>
    <row r="946" spans="1:9" x14ac:dyDescent="0.3">
      <c r="A946">
        <v>564</v>
      </c>
      <c r="B946">
        <v>1246</v>
      </c>
      <c r="C946">
        <v>2025</v>
      </c>
      <c r="D946">
        <v>5</v>
      </c>
      <c r="E946">
        <v>9</v>
      </c>
      <c r="F946">
        <v>7</v>
      </c>
      <c r="G946">
        <v>30</v>
      </c>
      <c r="H946">
        <v>5</v>
      </c>
      <c r="I946">
        <v>12.9</v>
      </c>
    </row>
    <row r="947" spans="1:9" x14ac:dyDescent="0.3">
      <c r="A947">
        <v>567</v>
      </c>
      <c r="B947">
        <v>1247</v>
      </c>
      <c r="C947">
        <v>2025</v>
      </c>
      <c r="D947">
        <v>3</v>
      </c>
      <c r="E947">
        <v>10</v>
      </c>
      <c r="F947">
        <v>3</v>
      </c>
      <c r="G947">
        <v>36</v>
      </c>
      <c r="H947">
        <v>2</v>
      </c>
      <c r="I947">
        <v>5.6</v>
      </c>
    </row>
    <row r="948" spans="1:9" x14ac:dyDescent="0.3">
      <c r="A948">
        <v>570</v>
      </c>
      <c r="B948">
        <v>1248</v>
      </c>
      <c r="C948">
        <v>2025</v>
      </c>
      <c r="D948">
        <v>4</v>
      </c>
      <c r="E948">
        <v>9</v>
      </c>
      <c r="F948">
        <v>13</v>
      </c>
      <c r="G948">
        <v>35</v>
      </c>
      <c r="H948">
        <v>2</v>
      </c>
      <c r="I948">
        <v>9</v>
      </c>
    </row>
    <row r="949" spans="1:9" x14ac:dyDescent="0.3">
      <c r="A949">
        <v>573</v>
      </c>
      <c r="B949">
        <v>1249</v>
      </c>
      <c r="C949">
        <v>2025</v>
      </c>
      <c r="D949">
        <v>4</v>
      </c>
      <c r="E949">
        <v>10</v>
      </c>
      <c r="F949">
        <v>0</v>
      </c>
      <c r="G949">
        <v>25</v>
      </c>
      <c r="H949">
        <v>10</v>
      </c>
      <c r="I949">
        <v>10.6</v>
      </c>
    </row>
    <row r="950" spans="1:9" x14ac:dyDescent="0.3">
      <c r="A950">
        <v>576</v>
      </c>
      <c r="B950">
        <v>1250</v>
      </c>
      <c r="C950">
        <v>2025</v>
      </c>
      <c r="D950">
        <v>5</v>
      </c>
      <c r="E950">
        <v>7</v>
      </c>
      <c r="F950">
        <v>5</v>
      </c>
      <c r="G950">
        <v>13</v>
      </c>
      <c r="H950">
        <v>5</v>
      </c>
      <c r="I950">
        <v>11.1</v>
      </c>
    </row>
    <row r="951" spans="1:9" x14ac:dyDescent="0.3">
      <c r="A951">
        <v>578</v>
      </c>
      <c r="B951">
        <v>1251</v>
      </c>
      <c r="C951">
        <v>2025</v>
      </c>
      <c r="D951">
        <v>5</v>
      </c>
      <c r="E951">
        <v>6</v>
      </c>
      <c r="F951">
        <v>3</v>
      </c>
      <c r="G951">
        <v>28</v>
      </c>
      <c r="H951">
        <v>3</v>
      </c>
      <c r="I951">
        <v>12.7</v>
      </c>
    </row>
    <row r="952" spans="1:9" x14ac:dyDescent="0.3">
      <c r="A952">
        <v>578</v>
      </c>
      <c r="B952">
        <v>1251</v>
      </c>
      <c r="C952">
        <v>2025</v>
      </c>
      <c r="D952">
        <v>5</v>
      </c>
      <c r="E952">
        <v>6</v>
      </c>
      <c r="F952">
        <v>3</v>
      </c>
      <c r="G952">
        <v>28</v>
      </c>
      <c r="H952">
        <v>3</v>
      </c>
      <c r="I952">
        <v>12.7</v>
      </c>
    </row>
    <row r="953" spans="1:9" x14ac:dyDescent="0.3">
      <c r="A953">
        <v>581</v>
      </c>
      <c r="B953">
        <v>1252</v>
      </c>
      <c r="C953">
        <v>2025</v>
      </c>
      <c r="D953">
        <v>4</v>
      </c>
      <c r="E953">
        <v>7</v>
      </c>
      <c r="F953">
        <v>8</v>
      </c>
      <c r="G953">
        <v>21</v>
      </c>
      <c r="H953">
        <v>6</v>
      </c>
      <c r="I953">
        <v>7.9</v>
      </c>
    </row>
    <row r="954" spans="1:9" x14ac:dyDescent="0.3">
      <c r="A954">
        <v>585</v>
      </c>
      <c r="B954">
        <v>1254</v>
      </c>
      <c r="C954">
        <v>2025</v>
      </c>
      <c r="D954">
        <v>3</v>
      </c>
      <c r="E954">
        <v>8</v>
      </c>
      <c r="F954">
        <v>9</v>
      </c>
      <c r="G954">
        <v>52</v>
      </c>
      <c r="H954">
        <v>5</v>
      </c>
      <c r="I954">
        <v>4.7</v>
      </c>
    </row>
    <row r="955" spans="1:9" x14ac:dyDescent="0.3">
      <c r="A955">
        <v>589</v>
      </c>
      <c r="B955">
        <v>1256</v>
      </c>
      <c r="C955">
        <v>2025</v>
      </c>
      <c r="D955">
        <v>2</v>
      </c>
      <c r="E955">
        <v>3</v>
      </c>
      <c r="F955">
        <v>0</v>
      </c>
      <c r="G955">
        <v>28</v>
      </c>
      <c r="H955">
        <v>5</v>
      </c>
      <c r="I955">
        <v>1.3</v>
      </c>
    </row>
    <row r="956" spans="1:9" x14ac:dyDescent="0.3">
      <c r="A956">
        <v>592</v>
      </c>
      <c r="B956">
        <v>1257</v>
      </c>
      <c r="C956">
        <v>2025</v>
      </c>
      <c r="D956">
        <v>3</v>
      </c>
      <c r="E956">
        <v>7</v>
      </c>
      <c r="F956">
        <v>3</v>
      </c>
      <c r="G956">
        <v>19</v>
      </c>
      <c r="H956">
        <v>7</v>
      </c>
      <c r="I956">
        <v>5.0999999999999996</v>
      </c>
    </row>
    <row r="957" spans="1:9" x14ac:dyDescent="0.3">
      <c r="A957">
        <v>595</v>
      </c>
      <c r="B957">
        <v>1258</v>
      </c>
      <c r="C957">
        <v>2025</v>
      </c>
      <c r="D957">
        <v>3</v>
      </c>
      <c r="E957">
        <v>7</v>
      </c>
      <c r="F957">
        <v>15</v>
      </c>
      <c r="G957">
        <v>44</v>
      </c>
      <c r="H957">
        <v>2</v>
      </c>
      <c r="I957">
        <v>6.2</v>
      </c>
    </row>
    <row r="958" spans="1:9" x14ac:dyDescent="0.3">
      <c r="A958">
        <v>598</v>
      </c>
      <c r="B958">
        <v>1259</v>
      </c>
      <c r="C958">
        <v>2025</v>
      </c>
      <c r="D958">
        <v>4</v>
      </c>
      <c r="F958">
        <v>16</v>
      </c>
      <c r="G958">
        <v>30</v>
      </c>
      <c r="H958">
        <v>4</v>
      </c>
      <c r="I958">
        <v>8.5</v>
      </c>
    </row>
    <row r="959" spans="1:9" x14ac:dyDescent="0.3">
      <c r="A959">
        <v>601</v>
      </c>
      <c r="B959">
        <v>1260</v>
      </c>
      <c r="C959">
        <v>2025</v>
      </c>
      <c r="D959">
        <v>4</v>
      </c>
      <c r="E959">
        <v>7</v>
      </c>
      <c r="F959">
        <v>4</v>
      </c>
      <c r="G959">
        <v>15</v>
      </c>
      <c r="H959">
        <v>2</v>
      </c>
      <c r="I959">
        <v>8.8000000000000007</v>
      </c>
    </row>
    <row r="960" spans="1:9" x14ac:dyDescent="0.3">
      <c r="A960">
        <v>604</v>
      </c>
      <c r="B960">
        <v>1261</v>
      </c>
      <c r="C960">
        <v>2025</v>
      </c>
      <c r="D960">
        <v>5</v>
      </c>
      <c r="E960">
        <v>5</v>
      </c>
      <c r="F960">
        <v>10</v>
      </c>
      <c r="G960">
        <v>34</v>
      </c>
      <c r="H960">
        <v>10</v>
      </c>
      <c r="I960">
        <v>11.8</v>
      </c>
    </row>
    <row r="961" spans="1:9" x14ac:dyDescent="0.3">
      <c r="A961">
        <v>605</v>
      </c>
      <c r="B961">
        <v>1262</v>
      </c>
      <c r="C961">
        <v>2025</v>
      </c>
      <c r="D961">
        <v>4</v>
      </c>
      <c r="E961">
        <v>6</v>
      </c>
      <c r="F961">
        <v>21</v>
      </c>
      <c r="G961">
        <v>22</v>
      </c>
      <c r="H961">
        <v>7</v>
      </c>
      <c r="I961">
        <v>8.5</v>
      </c>
    </row>
    <row r="962" spans="1:9" x14ac:dyDescent="0.3">
      <c r="A962">
        <v>608</v>
      </c>
      <c r="B962">
        <v>1263</v>
      </c>
      <c r="C962">
        <v>2025</v>
      </c>
      <c r="D962">
        <v>4</v>
      </c>
      <c r="E962">
        <v>5</v>
      </c>
      <c r="F962">
        <v>13</v>
      </c>
      <c r="G962">
        <v>27</v>
      </c>
      <c r="H962">
        <v>6</v>
      </c>
      <c r="I962">
        <v>8.1</v>
      </c>
    </row>
    <row r="963" spans="1:9" x14ac:dyDescent="0.3">
      <c r="A963">
        <v>609</v>
      </c>
      <c r="B963">
        <v>1264</v>
      </c>
      <c r="C963">
        <v>2025</v>
      </c>
      <c r="D963">
        <v>3</v>
      </c>
      <c r="E963">
        <v>5</v>
      </c>
      <c r="F963">
        <v>9</v>
      </c>
      <c r="G963">
        <v>30</v>
      </c>
      <c r="H963">
        <v>5</v>
      </c>
      <c r="I963">
        <v>6.1</v>
      </c>
    </row>
    <row r="964" spans="1:9" x14ac:dyDescent="0.3">
      <c r="A964">
        <v>612</v>
      </c>
      <c r="B964">
        <v>1265</v>
      </c>
      <c r="C964">
        <v>2025</v>
      </c>
      <c r="D964">
        <v>5</v>
      </c>
      <c r="E964">
        <v>8</v>
      </c>
      <c r="F964">
        <v>0</v>
      </c>
      <c r="G964">
        <v>22</v>
      </c>
      <c r="H964">
        <v>5</v>
      </c>
      <c r="I964">
        <v>12.5</v>
      </c>
    </row>
    <row r="965" spans="1:9" x14ac:dyDescent="0.3">
      <c r="A965">
        <v>615</v>
      </c>
      <c r="B965">
        <v>1266</v>
      </c>
      <c r="C965">
        <v>2025</v>
      </c>
      <c r="D965">
        <v>2</v>
      </c>
      <c r="E965">
        <v>8</v>
      </c>
      <c r="F965">
        <v>9</v>
      </c>
      <c r="G965">
        <v>23</v>
      </c>
      <c r="H965">
        <v>8</v>
      </c>
      <c r="I965">
        <v>0.9</v>
      </c>
    </row>
    <row r="966" spans="1:9" x14ac:dyDescent="0.3">
      <c r="A966">
        <v>618</v>
      </c>
      <c r="B966">
        <v>1267</v>
      </c>
      <c r="C966">
        <v>2025</v>
      </c>
      <c r="D966">
        <v>4</v>
      </c>
      <c r="E966">
        <v>7</v>
      </c>
      <c r="F966">
        <v>14</v>
      </c>
      <c r="G966">
        <v>22</v>
      </c>
      <c r="H966">
        <v>3</v>
      </c>
      <c r="I966">
        <v>8.8000000000000007</v>
      </c>
    </row>
    <row r="967" spans="1:9" x14ac:dyDescent="0.3">
      <c r="A967">
        <v>621</v>
      </c>
      <c r="B967">
        <v>1268</v>
      </c>
      <c r="C967">
        <v>2025</v>
      </c>
      <c r="D967">
        <v>3</v>
      </c>
      <c r="E967">
        <v>5</v>
      </c>
      <c r="F967">
        <v>14</v>
      </c>
      <c r="G967">
        <v>17</v>
      </c>
      <c r="H967">
        <v>7</v>
      </c>
      <c r="I967">
        <v>3.8</v>
      </c>
    </row>
    <row r="968" spans="1:9" x14ac:dyDescent="0.3">
      <c r="A968">
        <v>624</v>
      </c>
      <c r="B968">
        <v>1269</v>
      </c>
      <c r="C968">
        <v>2025</v>
      </c>
      <c r="D968">
        <v>2</v>
      </c>
      <c r="E968">
        <v>6</v>
      </c>
      <c r="F968">
        <v>6</v>
      </c>
      <c r="G968">
        <v>25</v>
      </c>
      <c r="H968">
        <v>2</v>
      </c>
      <c r="I968">
        <v>2.2999999999999998</v>
      </c>
    </row>
    <row r="969" spans="1:9" x14ac:dyDescent="0.3">
      <c r="A969">
        <v>625</v>
      </c>
      <c r="B969">
        <v>1270</v>
      </c>
      <c r="C969">
        <v>2025</v>
      </c>
      <c r="D969">
        <v>4</v>
      </c>
      <c r="E969">
        <v>7</v>
      </c>
      <c r="F969">
        <v>8</v>
      </c>
      <c r="G969">
        <v>22</v>
      </c>
      <c r="H969">
        <v>2</v>
      </c>
      <c r="I969">
        <v>7.5</v>
      </c>
    </row>
    <row r="970" spans="1:9" x14ac:dyDescent="0.3">
      <c r="A970">
        <v>627</v>
      </c>
      <c r="B970">
        <v>1271</v>
      </c>
      <c r="C970">
        <v>2025</v>
      </c>
      <c r="D970">
        <v>5</v>
      </c>
      <c r="E970">
        <v>2</v>
      </c>
      <c r="F970">
        <v>2</v>
      </c>
      <c r="G970">
        <v>25</v>
      </c>
      <c r="H970">
        <v>5</v>
      </c>
      <c r="I970">
        <v>12.8</v>
      </c>
    </row>
    <row r="971" spans="1:9" x14ac:dyDescent="0.3">
      <c r="A971">
        <v>630</v>
      </c>
      <c r="B971">
        <v>1272</v>
      </c>
      <c r="C971">
        <v>2025</v>
      </c>
      <c r="D971">
        <v>4</v>
      </c>
      <c r="E971">
        <v>5</v>
      </c>
      <c r="F971">
        <v>8</v>
      </c>
      <c r="G971">
        <v>36</v>
      </c>
      <c r="H971">
        <v>7</v>
      </c>
      <c r="I971">
        <v>8.6999999999999993</v>
      </c>
    </row>
    <row r="972" spans="1:9" x14ac:dyDescent="0.3">
      <c r="A972">
        <v>633</v>
      </c>
      <c r="B972">
        <v>1274</v>
      </c>
      <c r="C972">
        <v>2025</v>
      </c>
      <c r="D972">
        <v>4</v>
      </c>
      <c r="E972">
        <v>8</v>
      </c>
      <c r="F972">
        <v>10</v>
      </c>
      <c r="G972">
        <v>51</v>
      </c>
      <c r="H972">
        <v>4</v>
      </c>
      <c r="I972">
        <v>8</v>
      </c>
    </row>
    <row r="973" spans="1:9" x14ac:dyDescent="0.3">
      <c r="A973">
        <v>636</v>
      </c>
      <c r="B973">
        <v>1275</v>
      </c>
      <c r="C973">
        <v>2025</v>
      </c>
      <c r="D973">
        <v>4</v>
      </c>
      <c r="E973">
        <v>9</v>
      </c>
      <c r="F973">
        <v>9</v>
      </c>
      <c r="G973">
        <v>18</v>
      </c>
      <c r="H973">
        <v>2</v>
      </c>
      <c r="I973">
        <v>6.9</v>
      </c>
    </row>
    <row r="974" spans="1:9" x14ac:dyDescent="0.3">
      <c r="A974">
        <v>639</v>
      </c>
      <c r="B974">
        <v>1276</v>
      </c>
      <c r="C974">
        <v>2025</v>
      </c>
      <c r="D974">
        <v>3</v>
      </c>
      <c r="E974">
        <v>6</v>
      </c>
      <c r="F974">
        <v>8</v>
      </c>
      <c r="G974">
        <v>16</v>
      </c>
      <c r="H974">
        <v>4</v>
      </c>
      <c r="I974">
        <v>5.0999999999999996</v>
      </c>
    </row>
    <row r="975" spans="1:9" x14ac:dyDescent="0.3">
      <c r="A975">
        <v>642</v>
      </c>
      <c r="B975">
        <v>1278</v>
      </c>
      <c r="C975">
        <v>2025</v>
      </c>
      <c r="D975">
        <v>4</v>
      </c>
      <c r="E975">
        <v>7</v>
      </c>
      <c r="F975">
        <v>7</v>
      </c>
      <c r="G975">
        <v>18</v>
      </c>
      <c r="H975">
        <v>6</v>
      </c>
      <c r="I975">
        <v>7.4</v>
      </c>
    </row>
    <row r="976" spans="1:9" x14ac:dyDescent="0.3">
      <c r="A976">
        <v>643</v>
      </c>
      <c r="B976">
        <v>1279</v>
      </c>
      <c r="C976">
        <v>2025</v>
      </c>
      <c r="D976">
        <v>3</v>
      </c>
      <c r="E976">
        <v>7</v>
      </c>
      <c r="F976">
        <v>1</v>
      </c>
      <c r="G976">
        <v>28</v>
      </c>
      <c r="H976">
        <v>2</v>
      </c>
      <c r="I976">
        <v>4.3</v>
      </c>
    </row>
    <row r="977" spans="1:9" x14ac:dyDescent="0.3">
      <c r="A977">
        <v>646</v>
      </c>
      <c r="B977">
        <v>1280</v>
      </c>
      <c r="C977">
        <v>2025</v>
      </c>
      <c r="D977">
        <v>4</v>
      </c>
      <c r="E977">
        <v>8</v>
      </c>
      <c r="F977">
        <v>4</v>
      </c>
      <c r="G977">
        <v>29</v>
      </c>
      <c r="H977">
        <v>5</v>
      </c>
      <c r="I977">
        <v>8.1</v>
      </c>
    </row>
    <row r="978" spans="1:9" x14ac:dyDescent="0.3">
      <c r="A978">
        <v>649</v>
      </c>
      <c r="B978">
        <v>1281</v>
      </c>
      <c r="C978">
        <v>2025</v>
      </c>
      <c r="D978">
        <v>45</v>
      </c>
      <c r="E978">
        <v>7</v>
      </c>
      <c r="F978">
        <v>5</v>
      </c>
      <c r="G978">
        <v>15</v>
      </c>
      <c r="H978">
        <v>6</v>
      </c>
      <c r="I978">
        <v>6.4</v>
      </c>
    </row>
    <row r="979" spans="1:9" x14ac:dyDescent="0.3">
      <c r="A979">
        <v>650</v>
      </c>
      <c r="B979">
        <v>1282</v>
      </c>
      <c r="C979">
        <v>2025</v>
      </c>
      <c r="D979">
        <v>4</v>
      </c>
      <c r="E979">
        <v>6</v>
      </c>
      <c r="F979">
        <v>0</v>
      </c>
      <c r="G979">
        <v>18</v>
      </c>
      <c r="H979">
        <v>3</v>
      </c>
      <c r="I979">
        <v>7.3</v>
      </c>
    </row>
    <row r="980" spans="1:9" x14ac:dyDescent="0.3">
      <c r="A980">
        <v>653</v>
      </c>
      <c r="B980">
        <v>1283</v>
      </c>
      <c r="C980">
        <v>2025</v>
      </c>
      <c r="D980">
        <v>4</v>
      </c>
      <c r="E980">
        <v>8</v>
      </c>
      <c r="F980">
        <v>9</v>
      </c>
      <c r="G980">
        <v>25</v>
      </c>
      <c r="H980">
        <v>5</v>
      </c>
      <c r="I980">
        <v>8.1</v>
      </c>
    </row>
    <row r="981" spans="1:9" x14ac:dyDescent="0.3">
      <c r="A981">
        <v>656</v>
      </c>
      <c r="B981">
        <v>1284</v>
      </c>
      <c r="C981">
        <v>2025</v>
      </c>
      <c r="D981">
        <v>3</v>
      </c>
      <c r="E981">
        <v>9</v>
      </c>
      <c r="F981">
        <v>5</v>
      </c>
      <c r="G981">
        <v>19</v>
      </c>
      <c r="H981">
        <v>6</v>
      </c>
      <c r="I981">
        <v>4.8</v>
      </c>
    </row>
    <row r="982" spans="1:9" x14ac:dyDescent="0.3">
      <c r="A982">
        <v>659</v>
      </c>
      <c r="B982">
        <v>1285</v>
      </c>
      <c r="C982">
        <v>2025</v>
      </c>
      <c r="D982">
        <v>3</v>
      </c>
      <c r="E982">
        <v>8</v>
      </c>
      <c r="F982">
        <v>4</v>
      </c>
      <c r="G982">
        <v>24</v>
      </c>
      <c r="H982">
        <v>5</v>
      </c>
      <c r="I982">
        <v>3.7</v>
      </c>
    </row>
    <row r="983" spans="1:9" x14ac:dyDescent="0.3">
      <c r="A983">
        <v>662</v>
      </c>
      <c r="B983">
        <v>1286</v>
      </c>
      <c r="C983">
        <v>2025</v>
      </c>
      <c r="D983">
        <v>3</v>
      </c>
      <c r="E983">
        <v>5</v>
      </c>
      <c r="F983">
        <v>15</v>
      </c>
      <c r="G983">
        <v>23</v>
      </c>
      <c r="H983">
        <v>6</v>
      </c>
      <c r="I983">
        <v>3.8</v>
      </c>
    </row>
    <row r="984" spans="1:9" x14ac:dyDescent="0.3">
      <c r="A984">
        <v>665</v>
      </c>
      <c r="B984">
        <v>1287</v>
      </c>
      <c r="C984">
        <v>2025</v>
      </c>
      <c r="D984">
        <v>3</v>
      </c>
      <c r="E984">
        <v>6</v>
      </c>
      <c r="F984">
        <v>4</v>
      </c>
      <c r="G984">
        <v>14</v>
      </c>
      <c r="H984">
        <v>9</v>
      </c>
      <c r="I984">
        <v>4.0999999999999996</v>
      </c>
    </row>
    <row r="985" spans="1:9" x14ac:dyDescent="0.3">
      <c r="A985">
        <v>668</v>
      </c>
      <c r="B985">
        <v>1289</v>
      </c>
      <c r="C985">
        <v>2025</v>
      </c>
      <c r="D985">
        <v>5</v>
      </c>
      <c r="E985">
        <v>4</v>
      </c>
      <c r="F985">
        <v>15</v>
      </c>
      <c r="G985">
        <v>34</v>
      </c>
      <c r="H985">
        <v>10</v>
      </c>
      <c r="I985">
        <v>13.1</v>
      </c>
    </row>
    <row r="986" spans="1:9" x14ac:dyDescent="0.3">
      <c r="A986">
        <v>671</v>
      </c>
      <c r="B986">
        <v>1290</v>
      </c>
      <c r="C986">
        <v>2025</v>
      </c>
      <c r="D986">
        <v>4</v>
      </c>
      <c r="E986">
        <v>4</v>
      </c>
      <c r="F986">
        <v>4</v>
      </c>
      <c r="G986">
        <v>29</v>
      </c>
      <c r="H986">
        <v>9</v>
      </c>
      <c r="I986">
        <v>7.6</v>
      </c>
    </row>
    <row r="987" spans="1:9" x14ac:dyDescent="0.3">
      <c r="A987">
        <v>676</v>
      </c>
      <c r="B987">
        <v>1293</v>
      </c>
      <c r="C987">
        <v>2025</v>
      </c>
      <c r="D987">
        <v>3</v>
      </c>
      <c r="E987">
        <v>8</v>
      </c>
      <c r="F987">
        <v>7</v>
      </c>
      <c r="G987">
        <v>35</v>
      </c>
      <c r="H987">
        <v>3</v>
      </c>
      <c r="I987">
        <v>6.3</v>
      </c>
    </row>
    <row r="988" spans="1:9" x14ac:dyDescent="0.3">
      <c r="A988">
        <v>679</v>
      </c>
      <c r="B988">
        <v>1294</v>
      </c>
      <c r="C988">
        <v>2025</v>
      </c>
      <c r="D988">
        <v>3</v>
      </c>
      <c r="E988">
        <v>7</v>
      </c>
      <c r="F988">
        <v>6</v>
      </c>
      <c r="G988">
        <v>16</v>
      </c>
      <c r="H988">
        <v>3</v>
      </c>
      <c r="I988">
        <v>4.5999999999999996</v>
      </c>
    </row>
    <row r="989" spans="1:9" x14ac:dyDescent="0.3">
      <c r="A989">
        <v>682</v>
      </c>
      <c r="B989">
        <v>1296</v>
      </c>
      <c r="C989">
        <v>2025</v>
      </c>
      <c r="D989">
        <v>3</v>
      </c>
      <c r="E989">
        <v>5</v>
      </c>
      <c r="F989">
        <v>6</v>
      </c>
      <c r="G989">
        <v>33</v>
      </c>
      <c r="H989">
        <v>10</v>
      </c>
      <c r="I989">
        <v>5.4</v>
      </c>
    </row>
    <row r="990" spans="1:9" x14ac:dyDescent="0.3">
      <c r="A990">
        <v>685</v>
      </c>
      <c r="B990">
        <v>1297</v>
      </c>
      <c r="C990">
        <v>2025</v>
      </c>
      <c r="D990">
        <v>4</v>
      </c>
      <c r="E990">
        <v>8</v>
      </c>
      <c r="F990">
        <v>0</v>
      </c>
      <c r="G990">
        <v>32</v>
      </c>
      <c r="H990">
        <v>2</v>
      </c>
      <c r="I990">
        <v>7.8</v>
      </c>
    </row>
    <row r="991" spans="1:9" x14ac:dyDescent="0.3">
      <c r="A991">
        <v>689</v>
      </c>
      <c r="B991">
        <v>1299</v>
      </c>
      <c r="C991">
        <v>2025</v>
      </c>
      <c r="D991">
        <v>5</v>
      </c>
      <c r="E991">
        <v>9</v>
      </c>
      <c r="F991">
        <v>0</v>
      </c>
      <c r="G991">
        <v>42</v>
      </c>
      <c r="H991">
        <v>5</v>
      </c>
      <c r="I991">
        <v>13.4</v>
      </c>
    </row>
    <row r="992" spans="1:9" x14ac:dyDescent="0.3">
      <c r="A992">
        <v>692</v>
      </c>
      <c r="B992">
        <v>1300</v>
      </c>
      <c r="C992">
        <v>2025</v>
      </c>
      <c r="D992">
        <v>3</v>
      </c>
      <c r="E992">
        <v>9</v>
      </c>
      <c r="F992">
        <v>3</v>
      </c>
      <c r="G992">
        <v>28</v>
      </c>
      <c r="H992">
        <v>3</v>
      </c>
      <c r="I992">
        <v>5</v>
      </c>
    </row>
    <row r="993" spans="1:9" x14ac:dyDescent="0.3">
      <c r="A993">
        <v>695</v>
      </c>
      <c r="B993">
        <v>1301</v>
      </c>
      <c r="C993">
        <v>2025</v>
      </c>
      <c r="D993">
        <v>4</v>
      </c>
      <c r="E993">
        <v>7</v>
      </c>
      <c r="F993">
        <v>12</v>
      </c>
      <c r="G993">
        <v>33</v>
      </c>
      <c r="H993">
        <v>2</v>
      </c>
      <c r="I993">
        <v>7.8</v>
      </c>
    </row>
    <row r="994" spans="1:9" x14ac:dyDescent="0.3">
      <c r="A994">
        <v>698</v>
      </c>
      <c r="B994">
        <v>1302</v>
      </c>
      <c r="C994">
        <v>2025</v>
      </c>
      <c r="D994">
        <v>3</v>
      </c>
      <c r="E994">
        <v>10</v>
      </c>
      <c r="F994">
        <v>3</v>
      </c>
      <c r="G994">
        <v>15</v>
      </c>
      <c r="H994">
        <v>3</v>
      </c>
      <c r="I994">
        <v>4.3</v>
      </c>
    </row>
    <row r="995" spans="1:9" x14ac:dyDescent="0.3">
      <c r="A995">
        <v>701</v>
      </c>
      <c r="B995">
        <v>1303</v>
      </c>
      <c r="C995">
        <v>2025</v>
      </c>
      <c r="D995">
        <v>3</v>
      </c>
      <c r="E995">
        <v>9</v>
      </c>
      <c r="F995">
        <v>8</v>
      </c>
      <c r="G995">
        <v>25</v>
      </c>
      <c r="H995">
        <v>2</v>
      </c>
      <c r="I995">
        <v>5.3</v>
      </c>
    </row>
    <row r="996" spans="1:9" x14ac:dyDescent="0.3">
      <c r="A996">
        <v>703</v>
      </c>
      <c r="B996">
        <v>1304</v>
      </c>
      <c r="C996">
        <v>2025</v>
      </c>
      <c r="D996">
        <v>3</v>
      </c>
      <c r="E996">
        <v>4</v>
      </c>
      <c r="F996">
        <v>3</v>
      </c>
      <c r="G996">
        <v>21</v>
      </c>
      <c r="H996">
        <v>0</v>
      </c>
      <c r="I996">
        <v>5.0999999999999996</v>
      </c>
    </row>
    <row r="997" spans="1:9" x14ac:dyDescent="0.3">
      <c r="A997">
        <v>706</v>
      </c>
      <c r="B997">
        <v>1305</v>
      </c>
      <c r="C997">
        <v>2025</v>
      </c>
      <c r="E997">
        <v>5</v>
      </c>
      <c r="F997">
        <v>12</v>
      </c>
      <c r="G997">
        <v>17</v>
      </c>
      <c r="H997">
        <v>6</v>
      </c>
      <c r="I997">
        <v>11.4</v>
      </c>
    </row>
    <row r="998" spans="1:9" x14ac:dyDescent="0.3">
      <c r="A998">
        <v>709</v>
      </c>
      <c r="B998">
        <v>1306</v>
      </c>
      <c r="C998">
        <v>2025</v>
      </c>
      <c r="D998">
        <v>4</v>
      </c>
      <c r="E998">
        <v>10</v>
      </c>
      <c r="F998">
        <v>17</v>
      </c>
      <c r="G998">
        <v>33</v>
      </c>
      <c r="H998">
        <v>2</v>
      </c>
      <c r="I998">
        <v>7.4</v>
      </c>
    </row>
    <row r="999" spans="1:9" x14ac:dyDescent="0.3">
      <c r="A999">
        <v>711</v>
      </c>
      <c r="B999">
        <v>1307</v>
      </c>
      <c r="C999">
        <v>2025</v>
      </c>
      <c r="D999">
        <v>4</v>
      </c>
      <c r="F999">
        <v>4</v>
      </c>
      <c r="G999">
        <v>15</v>
      </c>
      <c r="H999">
        <v>5</v>
      </c>
      <c r="I999">
        <v>7.1</v>
      </c>
    </row>
    <row r="1000" spans="1:9" x14ac:dyDescent="0.3">
      <c r="A1000">
        <v>714</v>
      </c>
      <c r="B1000">
        <v>1308</v>
      </c>
      <c r="C1000">
        <v>2025</v>
      </c>
      <c r="D1000">
        <v>4</v>
      </c>
      <c r="E1000">
        <v>6</v>
      </c>
      <c r="F1000">
        <v>7</v>
      </c>
      <c r="G1000">
        <v>11</v>
      </c>
      <c r="H1000">
        <v>2</v>
      </c>
      <c r="I1000">
        <v>8.1</v>
      </c>
    </row>
    <row r="1001" spans="1:9" x14ac:dyDescent="0.3">
      <c r="A1001">
        <v>717</v>
      </c>
      <c r="B1001">
        <v>1309</v>
      </c>
      <c r="C1001">
        <v>2025</v>
      </c>
      <c r="D1001">
        <v>5</v>
      </c>
      <c r="E1001">
        <v>6</v>
      </c>
      <c r="F1001">
        <v>15</v>
      </c>
      <c r="G1001">
        <v>28</v>
      </c>
      <c r="H1001">
        <v>4</v>
      </c>
      <c r="I1001">
        <v>12</v>
      </c>
    </row>
    <row r="1002" spans="1:9" x14ac:dyDescent="0.3">
      <c r="A1002">
        <v>720</v>
      </c>
      <c r="B1002">
        <v>1311</v>
      </c>
      <c r="C1002">
        <v>2025</v>
      </c>
      <c r="D1002">
        <v>4</v>
      </c>
      <c r="E1002">
        <v>10</v>
      </c>
      <c r="F1002">
        <v>3</v>
      </c>
      <c r="G1002">
        <v>19</v>
      </c>
      <c r="H1002">
        <v>4</v>
      </c>
      <c r="I1002">
        <v>6.6</v>
      </c>
    </row>
    <row r="1003" spans="1:9" x14ac:dyDescent="0.3">
      <c r="A1003">
        <v>725</v>
      </c>
      <c r="B1003">
        <v>1313</v>
      </c>
      <c r="C1003">
        <v>2025</v>
      </c>
      <c r="D1003">
        <v>3</v>
      </c>
      <c r="E1003">
        <v>7</v>
      </c>
      <c r="F1003">
        <v>9</v>
      </c>
      <c r="G1003">
        <v>14</v>
      </c>
      <c r="H1003">
        <v>4</v>
      </c>
      <c r="I1003">
        <v>3.2</v>
      </c>
    </row>
    <row r="1004" spans="1:9" x14ac:dyDescent="0.3">
      <c r="A1004">
        <v>729</v>
      </c>
      <c r="B1004">
        <v>1315</v>
      </c>
      <c r="C1004">
        <v>2025</v>
      </c>
      <c r="D1004">
        <v>3</v>
      </c>
      <c r="E1004">
        <v>6</v>
      </c>
      <c r="F1004">
        <v>12</v>
      </c>
      <c r="G1004">
        <v>25</v>
      </c>
      <c r="H1004">
        <v>1</v>
      </c>
      <c r="I1004">
        <v>4.8</v>
      </c>
    </row>
    <row r="1005" spans="1:9" x14ac:dyDescent="0.3">
      <c r="A1005">
        <v>731</v>
      </c>
      <c r="B1005">
        <v>1316</v>
      </c>
      <c r="C1005">
        <v>2025</v>
      </c>
      <c r="D1005">
        <v>5</v>
      </c>
      <c r="E1005">
        <v>7</v>
      </c>
      <c r="F1005">
        <v>1</v>
      </c>
      <c r="G1005">
        <v>23</v>
      </c>
      <c r="H1005">
        <v>4</v>
      </c>
      <c r="I1005">
        <v>12.7</v>
      </c>
    </row>
    <row r="1006" spans="1:9" x14ac:dyDescent="0.3">
      <c r="A1006">
        <v>734</v>
      </c>
      <c r="B1006">
        <v>1317</v>
      </c>
      <c r="C1006">
        <v>2025</v>
      </c>
      <c r="D1006">
        <v>3</v>
      </c>
      <c r="E1006">
        <v>7</v>
      </c>
      <c r="F1006">
        <v>17</v>
      </c>
      <c r="G1006">
        <v>27</v>
      </c>
      <c r="H1006">
        <v>2</v>
      </c>
      <c r="I1006">
        <v>5.7</v>
      </c>
    </row>
    <row r="1007" spans="1:9" x14ac:dyDescent="0.3">
      <c r="A1007">
        <v>737</v>
      </c>
      <c r="B1007">
        <v>1318</v>
      </c>
      <c r="C1007">
        <v>2025</v>
      </c>
      <c r="D1007">
        <v>4</v>
      </c>
      <c r="E1007">
        <v>6</v>
      </c>
      <c r="F1007">
        <v>400</v>
      </c>
      <c r="G1007">
        <v>36</v>
      </c>
      <c r="H1007">
        <v>5</v>
      </c>
      <c r="I1007">
        <v>10.1</v>
      </c>
    </row>
    <row r="1008" spans="1:9" x14ac:dyDescent="0.3">
      <c r="A1008">
        <v>740</v>
      </c>
      <c r="B1008">
        <v>1319</v>
      </c>
      <c r="C1008">
        <v>2025</v>
      </c>
      <c r="D1008">
        <v>2</v>
      </c>
      <c r="E1008">
        <v>10</v>
      </c>
      <c r="F1008">
        <v>5</v>
      </c>
      <c r="G1008">
        <v>0</v>
      </c>
      <c r="H1008">
        <v>1</v>
      </c>
      <c r="I1008">
        <v>2.8</v>
      </c>
    </row>
    <row r="1009" spans="1:9" x14ac:dyDescent="0.3">
      <c r="A1009">
        <v>743</v>
      </c>
      <c r="B1009">
        <v>1320</v>
      </c>
      <c r="C1009">
        <v>2025</v>
      </c>
      <c r="D1009">
        <v>4</v>
      </c>
      <c r="E1009">
        <v>5</v>
      </c>
      <c r="F1009">
        <v>6</v>
      </c>
      <c r="G1009">
        <v>15</v>
      </c>
      <c r="H1009">
        <v>9</v>
      </c>
      <c r="I1009">
        <v>8.5</v>
      </c>
    </row>
    <row r="1010" spans="1:9" x14ac:dyDescent="0.3">
      <c r="A1010">
        <v>746</v>
      </c>
      <c r="B1010">
        <v>1321</v>
      </c>
      <c r="C1010">
        <v>2025</v>
      </c>
      <c r="D1010">
        <v>3</v>
      </c>
      <c r="E1010">
        <v>7</v>
      </c>
      <c r="F1010">
        <v>11</v>
      </c>
      <c r="G1010">
        <v>27</v>
      </c>
      <c r="H1010">
        <v>3</v>
      </c>
      <c r="I1010">
        <v>5.3</v>
      </c>
    </row>
    <row r="1011" spans="1:9" x14ac:dyDescent="0.3">
      <c r="A1011">
        <v>749</v>
      </c>
      <c r="B1011">
        <v>1323</v>
      </c>
      <c r="C1011">
        <v>2025</v>
      </c>
      <c r="D1011">
        <v>3</v>
      </c>
      <c r="E1011">
        <v>6</v>
      </c>
      <c r="F1011">
        <v>6</v>
      </c>
      <c r="G1011">
        <v>11</v>
      </c>
      <c r="H1011">
        <v>10</v>
      </c>
      <c r="I1011">
        <v>4.2</v>
      </c>
    </row>
    <row r="1012" spans="1:9" x14ac:dyDescent="0.3">
      <c r="A1012">
        <v>752</v>
      </c>
      <c r="B1012">
        <v>1324</v>
      </c>
      <c r="C1012">
        <v>2025</v>
      </c>
      <c r="D1012">
        <v>5</v>
      </c>
      <c r="E1012">
        <v>5</v>
      </c>
      <c r="F1012">
        <v>22</v>
      </c>
      <c r="G1012">
        <v>4</v>
      </c>
      <c r="H1012">
        <v>10</v>
      </c>
      <c r="I1012">
        <v>14.1</v>
      </c>
    </row>
    <row r="1013" spans="1:9" x14ac:dyDescent="0.3">
      <c r="A1013">
        <v>755</v>
      </c>
      <c r="B1013">
        <v>1325</v>
      </c>
      <c r="C1013">
        <v>2025</v>
      </c>
      <c r="D1013">
        <v>3</v>
      </c>
      <c r="E1013">
        <v>5</v>
      </c>
      <c r="F1013">
        <v>10</v>
      </c>
      <c r="G1013">
        <v>22</v>
      </c>
      <c r="H1013">
        <v>2</v>
      </c>
      <c r="I1013">
        <v>7.2</v>
      </c>
    </row>
    <row r="1014" spans="1:9" x14ac:dyDescent="0.3">
      <c r="A1014">
        <v>758</v>
      </c>
      <c r="B1014">
        <v>1326</v>
      </c>
      <c r="C1014">
        <v>2025</v>
      </c>
      <c r="D1014">
        <v>3</v>
      </c>
      <c r="E1014">
        <v>4</v>
      </c>
      <c r="F1014">
        <v>0</v>
      </c>
      <c r="G1014">
        <v>30</v>
      </c>
      <c r="H1014">
        <v>11</v>
      </c>
      <c r="I1014">
        <v>4.2</v>
      </c>
    </row>
    <row r="1015" spans="1:9" x14ac:dyDescent="0.3">
      <c r="A1015">
        <v>761</v>
      </c>
      <c r="B1015">
        <v>1327</v>
      </c>
      <c r="C1015">
        <v>2025</v>
      </c>
      <c r="D1015">
        <v>3</v>
      </c>
      <c r="E1015">
        <v>5</v>
      </c>
      <c r="F1015">
        <v>5</v>
      </c>
      <c r="G1015">
        <v>15</v>
      </c>
      <c r="H1015">
        <v>2</v>
      </c>
      <c r="I1015">
        <v>3.1</v>
      </c>
    </row>
    <row r="1016" spans="1:9" x14ac:dyDescent="0.3">
      <c r="A1016">
        <v>764</v>
      </c>
      <c r="B1016">
        <v>1328</v>
      </c>
      <c r="C1016">
        <v>2025</v>
      </c>
      <c r="D1016">
        <v>3</v>
      </c>
      <c r="F1016">
        <v>3</v>
      </c>
      <c r="G1016">
        <v>4</v>
      </c>
      <c r="H1016">
        <v>1</v>
      </c>
      <c r="I1016">
        <v>5.0999999999999996</v>
      </c>
    </row>
    <row r="1017" spans="1:9" x14ac:dyDescent="0.3">
      <c r="A1017">
        <v>767</v>
      </c>
      <c r="B1017">
        <v>1330</v>
      </c>
      <c r="C1017">
        <v>2025</v>
      </c>
      <c r="D1017">
        <v>4</v>
      </c>
      <c r="E1017">
        <v>7</v>
      </c>
      <c r="F1017">
        <v>9</v>
      </c>
      <c r="G1017">
        <v>21</v>
      </c>
      <c r="H1017">
        <v>7</v>
      </c>
      <c r="I1017">
        <v>6.1</v>
      </c>
    </row>
    <row r="1018" spans="1:9" x14ac:dyDescent="0.3">
      <c r="A1018">
        <v>770</v>
      </c>
      <c r="B1018">
        <v>1331</v>
      </c>
      <c r="C1018">
        <v>2025</v>
      </c>
      <c r="D1018">
        <v>4</v>
      </c>
      <c r="E1018">
        <v>8</v>
      </c>
      <c r="F1018">
        <v>0</v>
      </c>
      <c r="G1018">
        <v>16</v>
      </c>
      <c r="H1018">
        <v>5</v>
      </c>
      <c r="I1018">
        <v>6.5</v>
      </c>
    </row>
    <row r="1019" spans="1:9" x14ac:dyDescent="0.3">
      <c r="A1019">
        <v>773</v>
      </c>
      <c r="B1019">
        <v>1332</v>
      </c>
      <c r="C1019">
        <v>2025</v>
      </c>
      <c r="D1019">
        <v>4</v>
      </c>
      <c r="E1019">
        <v>8</v>
      </c>
      <c r="F1019">
        <v>15</v>
      </c>
      <c r="G1019">
        <v>36</v>
      </c>
      <c r="H1019">
        <v>3</v>
      </c>
      <c r="I1019">
        <v>8.8000000000000007</v>
      </c>
    </row>
    <row r="1020" spans="1:9" x14ac:dyDescent="0.3">
      <c r="A1020">
        <v>776</v>
      </c>
      <c r="B1020">
        <v>1333</v>
      </c>
      <c r="C1020">
        <v>2025</v>
      </c>
      <c r="D1020">
        <v>4</v>
      </c>
      <c r="E1020">
        <v>6</v>
      </c>
      <c r="F1020">
        <v>7</v>
      </c>
      <c r="G1020">
        <v>37</v>
      </c>
      <c r="H1020">
        <v>7</v>
      </c>
      <c r="I1020">
        <v>9</v>
      </c>
    </row>
    <row r="1021" spans="1:9" x14ac:dyDescent="0.3">
      <c r="A1021">
        <v>779</v>
      </c>
      <c r="B1021">
        <v>1334</v>
      </c>
      <c r="C1021">
        <v>2025</v>
      </c>
      <c r="E1021">
        <v>6</v>
      </c>
      <c r="F1021">
        <v>7</v>
      </c>
      <c r="G1021">
        <v>27</v>
      </c>
      <c r="H1021">
        <v>4</v>
      </c>
      <c r="I1021">
        <v>6.9</v>
      </c>
    </row>
    <row r="1022" spans="1:9" x14ac:dyDescent="0.3">
      <c r="A1022">
        <v>782</v>
      </c>
      <c r="B1022">
        <v>1335</v>
      </c>
      <c r="C1022">
        <v>2025</v>
      </c>
      <c r="D1022">
        <v>3</v>
      </c>
      <c r="E1022">
        <v>8</v>
      </c>
      <c r="F1022">
        <v>4</v>
      </c>
      <c r="G1022">
        <v>20</v>
      </c>
      <c r="H1022">
        <v>7</v>
      </c>
      <c r="I1022">
        <v>5.4</v>
      </c>
    </row>
    <row r="1023" spans="1:9" x14ac:dyDescent="0.3">
      <c r="A1023">
        <v>785</v>
      </c>
      <c r="B1023">
        <v>1336</v>
      </c>
      <c r="C1023">
        <v>2025</v>
      </c>
      <c r="D1023">
        <v>2</v>
      </c>
      <c r="F1023">
        <v>10</v>
      </c>
      <c r="G1023">
        <v>23</v>
      </c>
      <c r="H1023">
        <v>2</v>
      </c>
      <c r="I1023">
        <v>0.4</v>
      </c>
    </row>
    <row r="1024" spans="1:9" x14ac:dyDescent="0.3">
      <c r="A1024">
        <v>788</v>
      </c>
      <c r="B1024">
        <v>1338</v>
      </c>
      <c r="C1024">
        <v>2025</v>
      </c>
      <c r="D1024">
        <v>2</v>
      </c>
      <c r="E1024">
        <v>9</v>
      </c>
      <c r="F1024">
        <v>1</v>
      </c>
      <c r="G1024">
        <v>17</v>
      </c>
      <c r="H1024">
        <v>2</v>
      </c>
      <c r="I1024">
        <v>1.6</v>
      </c>
    </row>
    <row r="1025" spans="1:9" x14ac:dyDescent="0.3">
      <c r="A1025">
        <v>791</v>
      </c>
      <c r="B1025">
        <v>1339</v>
      </c>
      <c r="C1025">
        <v>2025</v>
      </c>
      <c r="D1025">
        <v>1</v>
      </c>
      <c r="E1025">
        <v>7</v>
      </c>
      <c r="F1025">
        <v>3</v>
      </c>
      <c r="G1025">
        <v>11</v>
      </c>
      <c r="H1025">
        <v>8</v>
      </c>
      <c r="I1025">
        <v>0</v>
      </c>
    </row>
    <row r="1026" spans="1:9" x14ac:dyDescent="0.3">
      <c r="A1026">
        <v>794</v>
      </c>
      <c r="B1026">
        <v>1341</v>
      </c>
      <c r="C1026">
        <v>2025</v>
      </c>
      <c r="D1026">
        <v>5</v>
      </c>
      <c r="E1026">
        <v>8</v>
      </c>
      <c r="F1026">
        <v>0</v>
      </c>
      <c r="G1026">
        <v>32</v>
      </c>
      <c r="H1026">
        <v>2</v>
      </c>
      <c r="I1026">
        <v>12.9</v>
      </c>
    </row>
    <row r="1027" spans="1:9" x14ac:dyDescent="0.3">
      <c r="A1027">
        <v>798</v>
      </c>
      <c r="B1027">
        <v>1343</v>
      </c>
      <c r="C1027">
        <v>2025</v>
      </c>
      <c r="D1027">
        <v>4</v>
      </c>
      <c r="E1027">
        <v>8</v>
      </c>
      <c r="F1027">
        <v>6</v>
      </c>
      <c r="G1027">
        <v>11</v>
      </c>
      <c r="H1027">
        <v>2</v>
      </c>
      <c r="I1027">
        <v>7.3</v>
      </c>
    </row>
    <row r="1028" spans="1:9" x14ac:dyDescent="0.3">
      <c r="A1028">
        <v>801</v>
      </c>
      <c r="B1028">
        <v>1344</v>
      </c>
      <c r="C1028">
        <v>2025</v>
      </c>
      <c r="D1028">
        <v>3</v>
      </c>
      <c r="E1028">
        <v>10</v>
      </c>
      <c r="F1028">
        <v>4</v>
      </c>
      <c r="G1028">
        <v>10</v>
      </c>
      <c r="H1028">
        <v>3</v>
      </c>
      <c r="I1028">
        <v>4.8</v>
      </c>
    </row>
    <row r="1029" spans="1:9" x14ac:dyDescent="0.3">
      <c r="A1029">
        <v>804</v>
      </c>
      <c r="B1029">
        <v>1345</v>
      </c>
      <c r="C1029">
        <v>2025</v>
      </c>
      <c r="D1029">
        <v>4</v>
      </c>
      <c r="E1029">
        <v>4</v>
      </c>
      <c r="F1029">
        <v>0</v>
      </c>
      <c r="G1029">
        <v>34</v>
      </c>
      <c r="H1029">
        <v>7</v>
      </c>
      <c r="I1029">
        <v>9</v>
      </c>
    </row>
    <row r="1030" spans="1:9" x14ac:dyDescent="0.3">
      <c r="A1030">
        <v>805</v>
      </c>
      <c r="B1030">
        <v>1346</v>
      </c>
      <c r="C1030">
        <v>2025</v>
      </c>
      <c r="D1030">
        <v>3</v>
      </c>
      <c r="E1030">
        <v>8</v>
      </c>
      <c r="F1030">
        <v>8</v>
      </c>
      <c r="G1030">
        <v>16</v>
      </c>
      <c r="H1030">
        <v>6</v>
      </c>
      <c r="I1030">
        <v>5</v>
      </c>
    </row>
    <row r="1031" spans="1:9" x14ac:dyDescent="0.3">
      <c r="A1031">
        <v>806</v>
      </c>
      <c r="B1031">
        <v>1347</v>
      </c>
      <c r="C1031">
        <v>2025</v>
      </c>
      <c r="D1031">
        <v>5</v>
      </c>
      <c r="E1031">
        <v>7</v>
      </c>
      <c r="F1031">
        <v>15</v>
      </c>
      <c r="G1031">
        <v>24</v>
      </c>
      <c r="H1031">
        <v>5</v>
      </c>
      <c r="I1031">
        <v>12.6</v>
      </c>
    </row>
    <row r="1032" spans="1:9" x14ac:dyDescent="0.3">
      <c r="A1032">
        <v>811</v>
      </c>
      <c r="B1032">
        <v>1349</v>
      </c>
      <c r="C1032">
        <v>2025</v>
      </c>
      <c r="D1032">
        <v>3</v>
      </c>
      <c r="E1032">
        <v>6</v>
      </c>
      <c r="F1032">
        <v>7</v>
      </c>
      <c r="G1032">
        <v>21</v>
      </c>
      <c r="H1032">
        <v>5</v>
      </c>
      <c r="I1032">
        <v>5.2</v>
      </c>
    </row>
    <row r="1033" spans="1:9" x14ac:dyDescent="0.3">
      <c r="A1033">
        <v>813</v>
      </c>
      <c r="B1033">
        <v>1350</v>
      </c>
      <c r="C1033">
        <v>2025</v>
      </c>
      <c r="E1033">
        <v>5</v>
      </c>
      <c r="F1033">
        <v>10</v>
      </c>
      <c r="G1033">
        <v>23</v>
      </c>
      <c r="H1033">
        <v>8</v>
      </c>
      <c r="I1033">
        <v>6.3</v>
      </c>
    </row>
    <row r="1034" spans="1:9" x14ac:dyDescent="0.3">
      <c r="A1034">
        <v>816</v>
      </c>
      <c r="B1034">
        <v>1351</v>
      </c>
      <c r="C1034">
        <v>2025</v>
      </c>
      <c r="D1034">
        <v>4</v>
      </c>
      <c r="E1034">
        <v>8</v>
      </c>
      <c r="F1034">
        <v>9</v>
      </c>
      <c r="G1034">
        <v>18</v>
      </c>
      <c r="H1034">
        <v>4</v>
      </c>
      <c r="I1034">
        <v>9.6</v>
      </c>
    </row>
    <row r="1035" spans="1:9" x14ac:dyDescent="0.3">
      <c r="A1035">
        <v>819</v>
      </c>
      <c r="B1035">
        <v>1352</v>
      </c>
      <c r="C1035">
        <v>2025</v>
      </c>
      <c r="D1035">
        <v>3</v>
      </c>
      <c r="E1035">
        <v>6</v>
      </c>
      <c r="F1035">
        <v>1</v>
      </c>
      <c r="G1035">
        <v>37</v>
      </c>
      <c r="H1035">
        <v>4</v>
      </c>
      <c r="I1035">
        <v>4.3</v>
      </c>
    </row>
    <row r="1036" spans="1:9" x14ac:dyDescent="0.3">
      <c r="A1036">
        <v>821</v>
      </c>
      <c r="B1036">
        <v>1353</v>
      </c>
      <c r="C1036">
        <v>2025</v>
      </c>
      <c r="D1036">
        <v>3</v>
      </c>
      <c r="E1036">
        <v>7</v>
      </c>
      <c r="F1036">
        <v>5</v>
      </c>
      <c r="G1036">
        <v>37</v>
      </c>
      <c r="H1036">
        <v>6</v>
      </c>
      <c r="I1036">
        <v>4.5</v>
      </c>
    </row>
    <row r="1037" spans="1:9" x14ac:dyDescent="0.3">
      <c r="A1037">
        <v>824</v>
      </c>
      <c r="B1037">
        <v>1354</v>
      </c>
      <c r="C1037">
        <v>2025</v>
      </c>
      <c r="D1037">
        <v>5</v>
      </c>
      <c r="E1037">
        <v>4</v>
      </c>
      <c r="F1037">
        <v>0</v>
      </c>
      <c r="G1037">
        <v>25</v>
      </c>
      <c r="H1037">
        <v>9</v>
      </c>
      <c r="I1037">
        <v>11.4</v>
      </c>
    </row>
    <row r="1038" spans="1:9" x14ac:dyDescent="0.3">
      <c r="A1038">
        <v>825</v>
      </c>
      <c r="B1038">
        <v>1355</v>
      </c>
      <c r="C1038">
        <v>2025</v>
      </c>
      <c r="D1038">
        <v>4</v>
      </c>
      <c r="E1038">
        <v>2</v>
      </c>
      <c r="F1038">
        <v>13</v>
      </c>
      <c r="G1038">
        <v>15</v>
      </c>
      <c r="H1038">
        <v>3</v>
      </c>
      <c r="I1038">
        <v>8.8000000000000007</v>
      </c>
    </row>
    <row r="1039" spans="1:9" x14ac:dyDescent="0.3">
      <c r="A1039">
        <v>828</v>
      </c>
      <c r="B1039">
        <v>1356</v>
      </c>
      <c r="C1039">
        <v>2025</v>
      </c>
      <c r="D1039">
        <v>3</v>
      </c>
      <c r="E1039">
        <v>5</v>
      </c>
      <c r="F1039">
        <v>12</v>
      </c>
      <c r="G1039">
        <v>22</v>
      </c>
      <c r="H1039">
        <v>5</v>
      </c>
      <c r="I1039">
        <v>6.1</v>
      </c>
    </row>
    <row r="1040" spans="1:9" x14ac:dyDescent="0.3">
      <c r="A1040">
        <v>831</v>
      </c>
      <c r="B1040">
        <v>1357</v>
      </c>
      <c r="C1040">
        <v>2025</v>
      </c>
      <c r="D1040">
        <v>2</v>
      </c>
      <c r="E1040">
        <v>10</v>
      </c>
      <c r="F1040">
        <v>4</v>
      </c>
      <c r="G1040">
        <v>0</v>
      </c>
      <c r="H1040">
        <v>4</v>
      </c>
      <c r="I1040">
        <v>2.2000000000000002</v>
      </c>
    </row>
    <row r="1041" spans="1:9" x14ac:dyDescent="0.3">
      <c r="A1041">
        <v>832</v>
      </c>
      <c r="B1041">
        <v>1358</v>
      </c>
      <c r="C1041">
        <v>2025</v>
      </c>
      <c r="D1041">
        <v>4</v>
      </c>
      <c r="E1041">
        <v>4</v>
      </c>
      <c r="F1041">
        <v>3</v>
      </c>
      <c r="G1041">
        <v>55</v>
      </c>
      <c r="H1041">
        <v>4</v>
      </c>
      <c r="I1041">
        <v>8.1</v>
      </c>
    </row>
    <row r="1042" spans="1:9" x14ac:dyDescent="0.3">
      <c r="A1042">
        <v>835</v>
      </c>
      <c r="B1042">
        <v>1359</v>
      </c>
      <c r="C1042">
        <v>2025</v>
      </c>
      <c r="D1042">
        <v>3</v>
      </c>
      <c r="E1042">
        <v>9</v>
      </c>
      <c r="F1042">
        <v>0</v>
      </c>
      <c r="G1042">
        <v>41</v>
      </c>
      <c r="H1042">
        <v>3</v>
      </c>
      <c r="I1042">
        <v>4.8</v>
      </c>
    </row>
    <row r="1043" spans="1:9" x14ac:dyDescent="0.3">
      <c r="A1043">
        <v>838</v>
      </c>
      <c r="B1043">
        <v>1360</v>
      </c>
      <c r="C1043">
        <v>2025</v>
      </c>
      <c r="D1043">
        <v>3</v>
      </c>
      <c r="E1043">
        <v>8</v>
      </c>
      <c r="F1043">
        <v>11</v>
      </c>
      <c r="G1043">
        <v>23</v>
      </c>
      <c r="H1043">
        <v>6</v>
      </c>
      <c r="I1043">
        <v>7.4</v>
      </c>
    </row>
    <row r="1044" spans="1:9" x14ac:dyDescent="0.3">
      <c r="A1044">
        <v>839</v>
      </c>
      <c r="B1044">
        <v>1361</v>
      </c>
      <c r="C1044">
        <v>2025</v>
      </c>
      <c r="D1044">
        <v>3</v>
      </c>
      <c r="E1044">
        <v>4</v>
      </c>
      <c r="F1044">
        <v>0</v>
      </c>
      <c r="G1044">
        <v>14</v>
      </c>
      <c r="H1044">
        <v>8</v>
      </c>
      <c r="I1044">
        <v>6.7</v>
      </c>
    </row>
    <row r="1045" spans="1:9" x14ac:dyDescent="0.3">
      <c r="A1045">
        <v>842</v>
      </c>
      <c r="B1045">
        <v>1362</v>
      </c>
      <c r="C1045">
        <v>2025</v>
      </c>
      <c r="D1045">
        <v>3</v>
      </c>
      <c r="E1045">
        <v>8</v>
      </c>
      <c r="F1045">
        <v>14</v>
      </c>
      <c r="G1045">
        <v>23</v>
      </c>
      <c r="H1045">
        <v>4</v>
      </c>
      <c r="I1045">
        <v>6.1</v>
      </c>
    </row>
    <row r="1046" spans="1:9" x14ac:dyDescent="0.3">
      <c r="A1046">
        <v>845</v>
      </c>
      <c r="B1046">
        <v>1363</v>
      </c>
      <c r="C1046">
        <v>2025</v>
      </c>
      <c r="D1046">
        <v>4</v>
      </c>
      <c r="E1046">
        <v>6</v>
      </c>
      <c r="F1046">
        <v>0</v>
      </c>
      <c r="G1046">
        <v>11</v>
      </c>
      <c r="H1046">
        <v>5</v>
      </c>
      <c r="I1046">
        <v>8.3000000000000007</v>
      </c>
    </row>
    <row r="1047" spans="1:9" x14ac:dyDescent="0.3">
      <c r="A1047">
        <v>848</v>
      </c>
      <c r="B1047">
        <v>1364</v>
      </c>
      <c r="C1047">
        <v>2025</v>
      </c>
      <c r="D1047">
        <v>5</v>
      </c>
      <c r="E1047">
        <v>9</v>
      </c>
      <c r="F1047">
        <v>8</v>
      </c>
      <c r="G1047">
        <v>39</v>
      </c>
      <c r="H1047">
        <v>6</v>
      </c>
      <c r="I1047">
        <v>11.7</v>
      </c>
    </row>
    <row r="1048" spans="1:9" x14ac:dyDescent="0.3">
      <c r="A1048">
        <v>851</v>
      </c>
      <c r="B1048">
        <v>1365</v>
      </c>
      <c r="C1048">
        <v>2025</v>
      </c>
      <c r="D1048">
        <v>3</v>
      </c>
      <c r="E1048">
        <v>6</v>
      </c>
      <c r="F1048">
        <v>4</v>
      </c>
      <c r="G1048">
        <v>37</v>
      </c>
      <c r="H1048">
        <v>6</v>
      </c>
      <c r="I1048">
        <v>5.3</v>
      </c>
    </row>
    <row r="1049" spans="1:9" x14ac:dyDescent="0.3">
      <c r="A1049">
        <v>853</v>
      </c>
      <c r="B1049">
        <v>1366</v>
      </c>
      <c r="C1049">
        <v>2025</v>
      </c>
      <c r="D1049">
        <v>3</v>
      </c>
      <c r="E1049">
        <v>8</v>
      </c>
      <c r="F1049">
        <v>0</v>
      </c>
      <c r="G1049">
        <v>20</v>
      </c>
      <c r="H1049">
        <v>4</v>
      </c>
      <c r="I1049">
        <v>4.5</v>
      </c>
    </row>
    <row r="1050" spans="1:9" x14ac:dyDescent="0.3">
      <c r="A1050">
        <v>856</v>
      </c>
      <c r="B1050">
        <v>1367</v>
      </c>
      <c r="C1050">
        <v>2025</v>
      </c>
      <c r="D1050">
        <v>3</v>
      </c>
      <c r="E1050">
        <v>7</v>
      </c>
      <c r="F1050">
        <v>9</v>
      </c>
      <c r="G1050">
        <v>10</v>
      </c>
      <c r="H1050">
        <v>3</v>
      </c>
      <c r="I1050">
        <v>4.4000000000000004</v>
      </c>
    </row>
    <row r="1051" spans="1:9" x14ac:dyDescent="0.3">
      <c r="A1051">
        <v>859</v>
      </c>
      <c r="B1051">
        <v>1368</v>
      </c>
      <c r="C1051">
        <v>2025</v>
      </c>
      <c r="D1051">
        <v>3</v>
      </c>
      <c r="E1051">
        <v>8</v>
      </c>
      <c r="F1051">
        <v>0</v>
      </c>
      <c r="G1051">
        <v>33</v>
      </c>
      <c r="H1051">
        <v>8</v>
      </c>
      <c r="I1051">
        <v>6.1</v>
      </c>
    </row>
    <row r="1052" spans="1:9" x14ac:dyDescent="0.3">
      <c r="A1052">
        <v>860</v>
      </c>
      <c r="B1052">
        <v>1369</v>
      </c>
      <c r="C1052">
        <v>2025</v>
      </c>
      <c r="D1052">
        <v>2</v>
      </c>
      <c r="E1052">
        <v>9</v>
      </c>
      <c r="F1052">
        <v>8</v>
      </c>
      <c r="G1052">
        <v>15</v>
      </c>
      <c r="H1052">
        <v>2</v>
      </c>
      <c r="I1052">
        <v>0.9</v>
      </c>
    </row>
    <row r="1053" spans="1:9" x14ac:dyDescent="0.3">
      <c r="A1053">
        <v>863</v>
      </c>
      <c r="B1053">
        <v>1370</v>
      </c>
      <c r="C1053">
        <v>2025</v>
      </c>
      <c r="D1053">
        <v>4</v>
      </c>
      <c r="E1053">
        <v>7</v>
      </c>
      <c r="F1053">
        <v>8</v>
      </c>
      <c r="G1053">
        <v>30</v>
      </c>
      <c r="H1053">
        <v>8</v>
      </c>
      <c r="I1053">
        <v>7.5</v>
      </c>
    </row>
    <row r="1054" spans="1:9" x14ac:dyDescent="0.3">
      <c r="A1054">
        <v>865</v>
      </c>
      <c r="B1054">
        <v>1371</v>
      </c>
      <c r="C1054">
        <v>2025</v>
      </c>
      <c r="D1054">
        <v>4</v>
      </c>
      <c r="E1054">
        <v>9</v>
      </c>
      <c r="F1054">
        <v>9</v>
      </c>
      <c r="G1054">
        <v>28</v>
      </c>
      <c r="H1054">
        <v>3</v>
      </c>
      <c r="I1054">
        <v>9.9</v>
      </c>
    </row>
    <row r="1055" spans="1:9" x14ac:dyDescent="0.3">
      <c r="A1055">
        <v>870</v>
      </c>
      <c r="B1055">
        <v>1374</v>
      </c>
      <c r="C1055">
        <v>2025</v>
      </c>
      <c r="D1055">
        <v>4</v>
      </c>
      <c r="E1055">
        <v>8</v>
      </c>
      <c r="F1055">
        <v>9</v>
      </c>
      <c r="G1055">
        <v>27</v>
      </c>
      <c r="H1055">
        <v>1</v>
      </c>
      <c r="I1055">
        <v>7.2</v>
      </c>
    </row>
    <row r="1056" spans="1:9" x14ac:dyDescent="0.3">
      <c r="A1056">
        <v>872</v>
      </c>
      <c r="B1056">
        <v>1375</v>
      </c>
      <c r="C1056">
        <v>2025</v>
      </c>
      <c r="D1056">
        <v>5</v>
      </c>
      <c r="E1056">
        <v>5</v>
      </c>
      <c r="F1056">
        <v>8</v>
      </c>
      <c r="G1056">
        <v>33</v>
      </c>
      <c r="H1056">
        <v>12</v>
      </c>
      <c r="I1056">
        <v>13.1</v>
      </c>
    </row>
    <row r="1057" spans="1:9" x14ac:dyDescent="0.3">
      <c r="A1057">
        <v>875</v>
      </c>
      <c r="B1057">
        <v>1376</v>
      </c>
      <c r="C1057">
        <v>2025</v>
      </c>
      <c r="D1057">
        <v>1</v>
      </c>
      <c r="E1057">
        <v>6</v>
      </c>
      <c r="F1057">
        <v>0</v>
      </c>
      <c r="G1057">
        <v>22</v>
      </c>
      <c r="H1057">
        <v>5</v>
      </c>
      <c r="I1057">
        <v>0.4</v>
      </c>
    </row>
    <row r="1058" spans="1:9" x14ac:dyDescent="0.3">
      <c r="A1058">
        <v>877</v>
      </c>
      <c r="B1058">
        <v>1377</v>
      </c>
      <c r="C1058">
        <v>2025</v>
      </c>
      <c r="D1058">
        <v>4</v>
      </c>
      <c r="E1058">
        <v>3</v>
      </c>
      <c r="F1058">
        <v>12</v>
      </c>
      <c r="G1058">
        <v>29</v>
      </c>
      <c r="H1058">
        <v>4</v>
      </c>
      <c r="I1058">
        <v>7.3</v>
      </c>
    </row>
    <row r="1059" spans="1:9" x14ac:dyDescent="0.3">
      <c r="A1059">
        <v>880</v>
      </c>
      <c r="B1059">
        <v>1378</v>
      </c>
      <c r="C1059">
        <v>2025</v>
      </c>
      <c r="D1059">
        <v>3</v>
      </c>
      <c r="E1059">
        <v>7</v>
      </c>
      <c r="F1059">
        <v>3</v>
      </c>
      <c r="G1059">
        <v>31</v>
      </c>
      <c r="H1059">
        <v>7</v>
      </c>
      <c r="I1059">
        <v>4.5</v>
      </c>
    </row>
    <row r="1060" spans="1:9" x14ac:dyDescent="0.3">
      <c r="A1060">
        <v>883</v>
      </c>
      <c r="B1060">
        <v>1379</v>
      </c>
      <c r="C1060">
        <v>2025</v>
      </c>
      <c r="D1060">
        <v>2</v>
      </c>
      <c r="E1060">
        <v>6</v>
      </c>
      <c r="F1060">
        <v>17</v>
      </c>
      <c r="G1060">
        <v>30</v>
      </c>
      <c r="H1060">
        <v>2</v>
      </c>
      <c r="I1060">
        <v>1.7</v>
      </c>
    </row>
    <row r="1061" spans="1:9" x14ac:dyDescent="0.3">
      <c r="A1061">
        <v>886</v>
      </c>
      <c r="B1061">
        <v>1380</v>
      </c>
      <c r="C1061">
        <v>2025</v>
      </c>
      <c r="D1061">
        <v>4</v>
      </c>
      <c r="E1061">
        <v>7</v>
      </c>
      <c r="F1061">
        <v>14</v>
      </c>
      <c r="G1061">
        <v>33</v>
      </c>
      <c r="H1061">
        <v>3</v>
      </c>
      <c r="I1061">
        <v>7.9</v>
      </c>
    </row>
    <row r="1062" spans="1:9" x14ac:dyDescent="0.3">
      <c r="A1062">
        <v>889</v>
      </c>
      <c r="B1062">
        <v>1381</v>
      </c>
      <c r="C1062">
        <v>2025</v>
      </c>
      <c r="D1062">
        <v>4</v>
      </c>
      <c r="E1062">
        <v>6</v>
      </c>
      <c r="F1062">
        <v>1</v>
      </c>
      <c r="G1062">
        <v>29</v>
      </c>
      <c r="H1062">
        <v>4</v>
      </c>
      <c r="I1062">
        <v>8.4</v>
      </c>
    </row>
    <row r="1063" spans="1:9" x14ac:dyDescent="0.3">
      <c r="A1063">
        <v>891</v>
      </c>
      <c r="B1063">
        <v>1382</v>
      </c>
      <c r="C1063">
        <v>2025</v>
      </c>
      <c r="D1063">
        <v>3</v>
      </c>
      <c r="E1063">
        <v>7</v>
      </c>
      <c r="F1063">
        <v>5</v>
      </c>
      <c r="G1063">
        <v>29</v>
      </c>
      <c r="H1063">
        <v>4</v>
      </c>
      <c r="I1063">
        <v>5.3</v>
      </c>
    </row>
    <row r="1064" spans="1:9" x14ac:dyDescent="0.3">
      <c r="A1064">
        <v>894</v>
      </c>
      <c r="B1064">
        <v>1383</v>
      </c>
      <c r="C1064">
        <v>2025</v>
      </c>
      <c r="D1064">
        <v>4</v>
      </c>
      <c r="E1064">
        <v>3</v>
      </c>
      <c r="F1064">
        <v>5</v>
      </c>
      <c r="G1064">
        <v>56</v>
      </c>
      <c r="H1064">
        <v>7</v>
      </c>
      <c r="I1064">
        <v>8.6999999999999993</v>
      </c>
    </row>
    <row r="1065" spans="1:9" x14ac:dyDescent="0.3">
      <c r="A1065">
        <v>897</v>
      </c>
      <c r="B1065">
        <v>1384</v>
      </c>
      <c r="C1065">
        <v>2025</v>
      </c>
      <c r="D1065">
        <v>4</v>
      </c>
      <c r="E1065">
        <v>9</v>
      </c>
      <c r="F1065">
        <v>4</v>
      </c>
      <c r="G1065">
        <v>12</v>
      </c>
      <c r="H1065">
        <v>1</v>
      </c>
      <c r="I1065">
        <v>8.5</v>
      </c>
    </row>
    <row r="1066" spans="1:9" x14ac:dyDescent="0.3">
      <c r="A1066">
        <v>900</v>
      </c>
      <c r="B1066">
        <v>1385</v>
      </c>
      <c r="C1066">
        <v>2025</v>
      </c>
      <c r="D1066">
        <v>5</v>
      </c>
      <c r="E1066">
        <v>7</v>
      </c>
      <c r="F1066">
        <v>11</v>
      </c>
      <c r="G1066">
        <v>21</v>
      </c>
      <c r="H1066">
        <v>3</v>
      </c>
      <c r="I1066">
        <v>11.8</v>
      </c>
    </row>
    <row r="1067" spans="1:9" x14ac:dyDescent="0.3">
      <c r="A1067">
        <v>902</v>
      </c>
      <c r="B1067">
        <v>1386</v>
      </c>
      <c r="C1067">
        <v>2025</v>
      </c>
      <c r="D1067">
        <v>4</v>
      </c>
      <c r="E1067">
        <v>9</v>
      </c>
      <c r="F1067">
        <v>11</v>
      </c>
      <c r="G1067">
        <v>16</v>
      </c>
      <c r="H1067">
        <v>5</v>
      </c>
      <c r="I1067">
        <v>10.199999999999999</v>
      </c>
    </row>
    <row r="1068" spans="1:9" x14ac:dyDescent="0.3">
      <c r="A1068">
        <v>905</v>
      </c>
      <c r="B1068">
        <v>1387</v>
      </c>
      <c r="C1068">
        <v>2025</v>
      </c>
      <c r="D1068">
        <v>3</v>
      </c>
      <c r="E1068">
        <v>10</v>
      </c>
      <c r="F1068">
        <v>8</v>
      </c>
      <c r="G1068">
        <v>38</v>
      </c>
      <c r="H1068">
        <v>5</v>
      </c>
      <c r="I1068">
        <v>5.2</v>
      </c>
    </row>
    <row r="1069" spans="1:9" x14ac:dyDescent="0.3">
      <c r="A1069">
        <v>908</v>
      </c>
      <c r="B1069">
        <v>1388</v>
      </c>
      <c r="C1069">
        <v>2025</v>
      </c>
      <c r="D1069">
        <v>3</v>
      </c>
      <c r="E1069">
        <v>7</v>
      </c>
      <c r="F1069">
        <v>19</v>
      </c>
      <c r="G1069">
        <v>29</v>
      </c>
      <c r="H1069">
        <v>8</v>
      </c>
      <c r="I1069">
        <v>5</v>
      </c>
    </row>
    <row r="1070" spans="1:9" x14ac:dyDescent="0.3">
      <c r="A1070">
        <v>911</v>
      </c>
      <c r="B1070">
        <v>1389</v>
      </c>
      <c r="C1070">
        <v>2025</v>
      </c>
      <c r="D1070">
        <v>4</v>
      </c>
      <c r="E1070">
        <v>4</v>
      </c>
      <c r="F1070">
        <v>8</v>
      </c>
      <c r="G1070">
        <v>37</v>
      </c>
      <c r="H1070">
        <v>5</v>
      </c>
      <c r="I1070">
        <v>7.6</v>
      </c>
    </row>
    <row r="1071" spans="1:9" x14ac:dyDescent="0.3">
      <c r="A1071">
        <v>914</v>
      </c>
      <c r="B1071">
        <v>1390</v>
      </c>
      <c r="C1071">
        <v>2025</v>
      </c>
      <c r="D1071">
        <v>4</v>
      </c>
      <c r="E1071">
        <v>6</v>
      </c>
      <c r="F1071">
        <v>9</v>
      </c>
      <c r="G1071">
        <v>5</v>
      </c>
      <c r="H1071">
        <v>4</v>
      </c>
      <c r="I1071">
        <v>7.4</v>
      </c>
    </row>
    <row r="1072" spans="1:9" x14ac:dyDescent="0.3">
      <c r="A1072">
        <v>917</v>
      </c>
      <c r="B1072">
        <v>1391</v>
      </c>
      <c r="C1072">
        <v>2025</v>
      </c>
      <c r="D1072">
        <v>3</v>
      </c>
      <c r="E1072">
        <v>9</v>
      </c>
      <c r="F1072">
        <v>7</v>
      </c>
      <c r="G1072">
        <v>14</v>
      </c>
      <c r="H1072">
        <v>8</v>
      </c>
      <c r="I1072">
        <v>4.3</v>
      </c>
    </row>
    <row r="1073" spans="1:9" x14ac:dyDescent="0.3">
      <c r="A1073">
        <v>920</v>
      </c>
      <c r="B1073">
        <v>1392</v>
      </c>
      <c r="C1073">
        <v>2025</v>
      </c>
      <c r="D1073">
        <v>4</v>
      </c>
      <c r="E1073">
        <v>6</v>
      </c>
      <c r="F1073">
        <v>13</v>
      </c>
      <c r="G1073">
        <v>18</v>
      </c>
      <c r="H1073">
        <v>6</v>
      </c>
      <c r="I1073">
        <v>9.4</v>
      </c>
    </row>
    <row r="1074" spans="1:9" x14ac:dyDescent="0.3">
      <c r="A1074">
        <v>923</v>
      </c>
      <c r="B1074">
        <v>1393</v>
      </c>
      <c r="C1074">
        <v>2025</v>
      </c>
      <c r="D1074">
        <v>3</v>
      </c>
      <c r="E1074">
        <v>3</v>
      </c>
      <c r="F1074">
        <v>15</v>
      </c>
      <c r="G1074">
        <v>33</v>
      </c>
      <c r="H1074">
        <v>4</v>
      </c>
      <c r="I1074">
        <v>4.3</v>
      </c>
    </row>
    <row r="1075" spans="1:9" x14ac:dyDescent="0.3">
      <c r="A1075">
        <v>926</v>
      </c>
      <c r="B1075">
        <v>1394</v>
      </c>
      <c r="C1075">
        <v>2025</v>
      </c>
      <c r="D1075">
        <v>5</v>
      </c>
      <c r="E1075">
        <v>5</v>
      </c>
      <c r="F1075">
        <v>1</v>
      </c>
      <c r="G1075">
        <v>32</v>
      </c>
      <c r="H1075">
        <v>10</v>
      </c>
      <c r="I1075">
        <v>11.2</v>
      </c>
    </row>
    <row r="1076" spans="1:9" x14ac:dyDescent="0.3">
      <c r="A1076">
        <v>929</v>
      </c>
      <c r="B1076">
        <v>1395</v>
      </c>
      <c r="C1076">
        <v>2025</v>
      </c>
      <c r="D1076">
        <v>3</v>
      </c>
      <c r="E1076">
        <v>7</v>
      </c>
      <c r="F1076">
        <v>11</v>
      </c>
      <c r="G1076">
        <v>48</v>
      </c>
      <c r="H1076">
        <v>7</v>
      </c>
      <c r="I1076">
        <v>5.6</v>
      </c>
    </row>
    <row r="1077" spans="1:9" x14ac:dyDescent="0.3">
      <c r="A1077">
        <v>931</v>
      </c>
      <c r="B1077">
        <v>1396</v>
      </c>
      <c r="C1077">
        <v>2025</v>
      </c>
      <c r="D1077">
        <v>4</v>
      </c>
      <c r="E1077">
        <v>5</v>
      </c>
      <c r="F1077">
        <v>6</v>
      </c>
      <c r="G1077">
        <v>23</v>
      </c>
      <c r="H1077">
        <v>4</v>
      </c>
      <c r="I1077">
        <v>8.3000000000000007</v>
      </c>
    </row>
    <row r="1078" spans="1:9" x14ac:dyDescent="0.3">
      <c r="A1078">
        <v>934</v>
      </c>
      <c r="B1078">
        <v>1397</v>
      </c>
      <c r="C1078">
        <v>2025</v>
      </c>
      <c r="D1078">
        <v>3</v>
      </c>
      <c r="E1078">
        <v>7</v>
      </c>
      <c r="F1078">
        <v>1</v>
      </c>
      <c r="G1078">
        <v>15</v>
      </c>
      <c r="H1078">
        <v>2</v>
      </c>
      <c r="I1078">
        <v>4.9000000000000004</v>
      </c>
    </row>
    <row r="1079" spans="1:9" x14ac:dyDescent="0.3">
      <c r="A1079">
        <v>937</v>
      </c>
      <c r="B1079">
        <v>1398</v>
      </c>
      <c r="C1079">
        <v>2025</v>
      </c>
      <c r="D1079">
        <v>4</v>
      </c>
      <c r="E1079">
        <v>7</v>
      </c>
      <c r="F1079">
        <v>18</v>
      </c>
      <c r="G1079">
        <v>22</v>
      </c>
      <c r="H1079">
        <v>6</v>
      </c>
      <c r="I1079">
        <v>7.5</v>
      </c>
    </row>
    <row r="1080" spans="1:9" x14ac:dyDescent="0.3">
      <c r="A1080">
        <v>940</v>
      </c>
      <c r="B1080">
        <v>1399</v>
      </c>
      <c r="C1080">
        <v>2025</v>
      </c>
      <c r="D1080">
        <v>2</v>
      </c>
      <c r="E1080">
        <v>8</v>
      </c>
      <c r="F1080">
        <v>2</v>
      </c>
      <c r="G1080">
        <v>21</v>
      </c>
      <c r="H1080">
        <v>3</v>
      </c>
      <c r="I1080">
        <v>2.5</v>
      </c>
    </row>
    <row r="1081" spans="1:9" x14ac:dyDescent="0.3">
      <c r="A1081">
        <v>943</v>
      </c>
      <c r="B1081">
        <v>1400</v>
      </c>
      <c r="C1081">
        <v>2025</v>
      </c>
      <c r="D1081">
        <v>3</v>
      </c>
      <c r="E1081">
        <v>7</v>
      </c>
      <c r="F1081">
        <v>16</v>
      </c>
      <c r="G1081">
        <v>16</v>
      </c>
      <c r="H1081">
        <v>5</v>
      </c>
      <c r="I1081">
        <v>5.5</v>
      </c>
    </row>
    <row r="1082" spans="1:9" x14ac:dyDescent="0.3">
      <c r="A1082">
        <v>946</v>
      </c>
      <c r="B1082">
        <v>1401</v>
      </c>
      <c r="C1082">
        <v>2025</v>
      </c>
      <c r="D1082">
        <v>4</v>
      </c>
      <c r="E1082">
        <v>5</v>
      </c>
      <c r="F1082">
        <v>2</v>
      </c>
      <c r="G1082">
        <v>5</v>
      </c>
      <c r="H1082">
        <v>5</v>
      </c>
      <c r="I1082">
        <v>8.1999999999999993</v>
      </c>
    </row>
    <row r="1083" spans="1:9" x14ac:dyDescent="0.3">
      <c r="A1083">
        <v>951</v>
      </c>
      <c r="B1083">
        <v>1403</v>
      </c>
      <c r="C1083">
        <v>2025</v>
      </c>
      <c r="D1083">
        <v>3</v>
      </c>
      <c r="E1083">
        <v>5</v>
      </c>
      <c r="F1083">
        <v>2</v>
      </c>
      <c r="G1083">
        <v>24</v>
      </c>
      <c r="H1083">
        <v>3</v>
      </c>
      <c r="I1083">
        <v>3.6</v>
      </c>
    </row>
    <row r="1084" spans="1:9" x14ac:dyDescent="0.3">
      <c r="A1084">
        <v>954</v>
      </c>
      <c r="B1084">
        <v>1404</v>
      </c>
      <c r="C1084">
        <v>2025</v>
      </c>
      <c r="D1084">
        <v>3</v>
      </c>
      <c r="E1084">
        <v>6</v>
      </c>
      <c r="F1084">
        <v>0</v>
      </c>
      <c r="G1084">
        <v>23</v>
      </c>
      <c r="H1084">
        <v>1</v>
      </c>
      <c r="I1084">
        <v>4.0999999999999996</v>
      </c>
    </row>
    <row r="1085" spans="1:9" x14ac:dyDescent="0.3">
      <c r="A1085">
        <v>957</v>
      </c>
      <c r="B1085">
        <v>1405</v>
      </c>
      <c r="C1085">
        <v>2025</v>
      </c>
      <c r="D1085">
        <v>4</v>
      </c>
      <c r="E1085">
        <v>5</v>
      </c>
      <c r="F1085">
        <v>9</v>
      </c>
      <c r="G1085">
        <v>24</v>
      </c>
      <c r="H1085">
        <v>1</v>
      </c>
      <c r="I1085">
        <v>7.6</v>
      </c>
    </row>
    <row r="1086" spans="1:9" x14ac:dyDescent="0.3">
      <c r="A1086">
        <v>960</v>
      </c>
      <c r="B1086">
        <v>1406</v>
      </c>
      <c r="C1086">
        <v>2025</v>
      </c>
      <c r="D1086">
        <v>3</v>
      </c>
      <c r="E1086">
        <v>5</v>
      </c>
      <c r="F1086">
        <v>6</v>
      </c>
      <c r="G1086">
        <v>31</v>
      </c>
      <c r="H1086">
        <v>6</v>
      </c>
      <c r="I1086">
        <v>4.3</v>
      </c>
    </row>
    <row r="1087" spans="1:9" x14ac:dyDescent="0.3">
      <c r="A1087">
        <v>962</v>
      </c>
      <c r="B1087">
        <v>1407</v>
      </c>
      <c r="C1087">
        <v>2025</v>
      </c>
      <c r="D1087">
        <v>5</v>
      </c>
      <c r="E1087">
        <v>9</v>
      </c>
      <c r="F1087">
        <v>2</v>
      </c>
      <c r="G1087">
        <v>17</v>
      </c>
      <c r="H1087">
        <v>4</v>
      </c>
      <c r="I1087">
        <v>10.4</v>
      </c>
    </row>
    <row r="1088" spans="1:9" x14ac:dyDescent="0.3">
      <c r="A1088">
        <v>965</v>
      </c>
      <c r="B1088">
        <v>1409</v>
      </c>
      <c r="C1088">
        <v>2025</v>
      </c>
      <c r="D1088">
        <v>4</v>
      </c>
      <c r="E1088">
        <v>7</v>
      </c>
      <c r="F1088">
        <v>0</v>
      </c>
      <c r="G1088">
        <v>19</v>
      </c>
      <c r="H1088">
        <v>3</v>
      </c>
      <c r="I1088">
        <v>9</v>
      </c>
    </row>
    <row r="1089" spans="1:9" x14ac:dyDescent="0.3">
      <c r="A1089">
        <v>968</v>
      </c>
      <c r="B1089">
        <v>1410</v>
      </c>
      <c r="C1089">
        <v>2025</v>
      </c>
      <c r="E1089">
        <v>9</v>
      </c>
      <c r="F1089">
        <v>13</v>
      </c>
      <c r="G1089">
        <v>32</v>
      </c>
      <c r="H1089">
        <v>7</v>
      </c>
      <c r="I1089">
        <v>6</v>
      </c>
    </row>
    <row r="1090" spans="1:9" x14ac:dyDescent="0.3">
      <c r="A1090">
        <v>971</v>
      </c>
      <c r="B1090">
        <v>1411</v>
      </c>
      <c r="C1090">
        <v>2025</v>
      </c>
      <c r="D1090">
        <v>4</v>
      </c>
      <c r="F1090">
        <v>14</v>
      </c>
      <c r="G1090">
        <v>14</v>
      </c>
      <c r="H1090">
        <v>6</v>
      </c>
      <c r="I1090">
        <v>6.8</v>
      </c>
    </row>
    <row r="1091" spans="1:9" x14ac:dyDescent="0.3">
      <c r="A1091">
        <v>974</v>
      </c>
      <c r="B1091">
        <v>1412</v>
      </c>
      <c r="C1091">
        <v>2025</v>
      </c>
      <c r="D1091">
        <v>4</v>
      </c>
      <c r="E1091">
        <v>8</v>
      </c>
      <c r="F1091">
        <v>4</v>
      </c>
      <c r="G1091">
        <v>14</v>
      </c>
      <c r="H1091">
        <v>1</v>
      </c>
      <c r="I1091">
        <v>7</v>
      </c>
    </row>
    <row r="1092" spans="1:9" x14ac:dyDescent="0.3">
      <c r="A1092">
        <v>977</v>
      </c>
      <c r="B1092">
        <v>1413</v>
      </c>
      <c r="C1092">
        <v>2025</v>
      </c>
      <c r="D1092">
        <v>4</v>
      </c>
      <c r="E1092">
        <v>7</v>
      </c>
      <c r="F1092">
        <v>1</v>
      </c>
      <c r="G1092">
        <v>43</v>
      </c>
      <c r="H1092">
        <v>5</v>
      </c>
      <c r="I1092">
        <v>6.7</v>
      </c>
    </row>
    <row r="1093" spans="1:9" x14ac:dyDescent="0.3">
      <c r="A1093">
        <v>980</v>
      </c>
      <c r="B1093">
        <v>1414</v>
      </c>
      <c r="C1093">
        <v>2025</v>
      </c>
      <c r="D1093">
        <v>4</v>
      </c>
      <c r="E1093">
        <v>6</v>
      </c>
      <c r="F1093">
        <v>12</v>
      </c>
      <c r="G1093">
        <v>37</v>
      </c>
      <c r="H1093">
        <v>8</v>
      </c>
      <c r="I1093">
        <v>7.9</v>
      </c>
    </row>
    <row r="1094" spans="1:9" x14ac:dyDescent="0.3">
      <c r="A1094">
        <v>983</v>
      </c>
      <c r="B1094">
        <v>1415</v>
      </c>
      <c r="C1094">
        <v>2025</v>
      </c>
      <c r="D1094">
        <v>3</v>
      </c>
      <c r="E1094">
        <v>4</v>
      </c>
      <c r="F1094">
        <v>520</v>
      </c>
      <c r="G1094">
        <v>31</v>
      </c>
      <c r="H1094">
        <v>5</v>
      </c>
      <c r="I1094">
        <v>5.9</v>
      </c>
    </row>
    <row r="1095" spans="1:9" x14ac:dyDescent="0.3">
      <c r="A1095">
        <v>986</v>
      </c>
      <c r="B1095">
        <v>1416</v>
      </c>
      <c r="C1095">
        <v>2025</v>
      </c>
      <c r="D1095">
        <v>5</v>
      </c>
      <c r="E1095">
        <v>7</v>
      </c>
      <c r="F1095">
        <v>2</v>
      </c>
      <c r="G1095">
        <v>23</v>
      </c>
      <c r="H1095">
        <v>2</v>
      </c>
      <c r="I1095">
        <v>12.5</v>
      </c>
    </row>
    <row r="1096" spans="1:9" x14ac:dyDescent="0.3">
      <c r="A1096">
        <v>987</v>
      </c>
      <c r="B1096">
        <v>1417</v>
      </c>
      <c r="C1096">
        <v>2025</v>
      </c>
      <c r="D1096">
        <v>2</v>
      </c>
      <c r="E1096">
        <v>8</v>
      </c>
      <c r="F1096">
        <v>0</v>
      </c>
      <c r="G1096">
        <v>32</v>
      </c>
      <c r="H1096">
        <v>2</v>
      </c>
      <c r="I1096">
        <v>2.1</v>
      </c>
    </row>
    <row r="1097" spans="1:9" x14ac:dyDescent="0.3">
      <c r="A1097">
        <v>990</v>
      </c>
      <c r="B1097">
        <v>1418</v>
      </c>
      <c r="C1097">
        <v>2025</v>
      </c>
      <c r="D1097">
        <v>4</v>
      </c>
      <c r="E1097">
        <v>4</v>
      </c>
      <c r="F1097">
        <v>11</v>
      </c>
      <c r="G1097">
        <v>10</v>
      </c>
      <c r="H1097">
        <v>6</v>
      </c>
      <c r="I1097">
        <v>7.4</v>
      </c>
    </row>
    <row r="1098" spans="1:9" x14ac:dyDescent="0.3">
      <c r="A1098">
        <v>993</v>
      </c>
      <c r="B1098">
        <v>1419</v>
      </c>
      <c r="C1098">
        <v>2025</v>
      </c>
      <c r="D1098">
        <v>3</v>
      </c>
      <c r="E1098">
        <v>6</v>
      </c>
      <c r="F1098">
        <v>10</v>
      </c>
      <c r="G1098">
        <v>25</v>
      </c>
      <c r="H1098">
        <v>4</v>
      </c>
      <c r="I1098">
        <v>5.8</v>
      </c>
    </row>
    <row r="1099" spans="1:9" x14ac:dyDescent="0.3">
      <c r="A1099">
        <v>996</v>
      </c>
      <c r="B1099">
        <v>1420</v>
      </c>
      <c r="C1099">
        <v>2025</v>
      </c>
      <c r="D1099">
        <v>2</v>
      </c>
      <c r="E1099">
        <v>6</v>
      </c>
      <c r="F1099">
        <v>15</v>
      </c>
      <c r="G1099">
        <v>0</v>
      </c>
      <c r="H1099">
        <v>3</v>
      </c>
      <c r="I1099">
        <v>1.4</v>
      </c>
    </row>
    <row r="1100" spans="1:9" x14ac:dyDescent="0.3">
      <c r="A1100">
        <v>999</v>
      </c>
      <c r="B1100">
        <v>1421</v>
      </c>
      <c r="C1100">
        <v>2025</v>
      </c>
      <c r="D1100">
        <v>2</v>
      </c>
      <c r="E1100">
        <v>6</v>
      </c>
      <c r="F1100">
        <v>13</v>
      </c>
      <c r="G1100">
        <v>12</v>
      </c>
      <c r="H1100">
        <v>3</v>
      </c>
      <c r="I1100">
        <v>3.4</v>
      </c>
    </row>
    <row r="1101" spans="1:9" x14ac:dyDescent="0.3">
      <c r="A1101">
        <v>1003</v>
      </c>
      <c r="B1101">
        <v>1424</v>
      </c>
      <c r="C1101">
        <v>2025</v>
      </c>
      <c r="D1101">
        <v>5</v>
      </c>
      <c r="E1101">
        <v>10</v>
      </c>
      <c r="F1101">
        <v>9</v>
      </c>
      <c r="G1101">
        <v>31</v>
      </c>
      <c r="H1101">
        <v>7</v>
      </c>
      <c r="I1101">
        <v>11.2</v>
      </c>
    </row>
    <row r="1102" spans="1:9" x14ac:dyDescent="0.3">
      <c r="A1102">
        <v>1006</v>
      </c>
      <c r="B1102">
        <v>1427</v>
      </c>
      <c r="C1102">
        <v>2025</v>
      </c>
      <c r="D1102">
        <v>4</v>
      </c>
      <c r="E1102">
        <v>7</v>
      </c>
      <c r="F1102">
        <v>15</v>
      </c>
      <c r="G1102">
        <v>29</v>
      </c>
      <c r="H1102">
        <v>2</v>
      </c>
      <c r="I1102">
        <v>6.8</v>
      </c>
    </row>
    <row r="1103" spans="1:9" x14ac:dyDescent="0.3">
      <c r="A1103">
        <v>1007</v>
      </c>
      <c r="B1103">
        <v>1428</v>
      </c>
      <c r="C1103">
        <v>2025</v>
      </c>
      <c r="D1103">
        <v>5</v>
      </c>
      <c r="E1103">
        <v>6</v>
      </c>
      <c r="F1103">
        <v>0</v>
      </c>
      <c r="G1103">
        <v>21</v>
      </c>
      <c r="H1103">
        <v>4</v>
      </c>
      <c r="I1103">
        <v>11.1</v>
      </c>
    </row>
    <row r="1104" spans="1:9" x14ac:dyDescent="0.3">
      <c r="A1104">
        <v>1009</v>
      </c>
      <c r="B1104">
        <v>1429</v>
      </c>
      <c r="C1104">
        <v>2025</v>
      </c>
      <c r="D1104">
        <v>4</v>
      </c>
      <c r="F1104">
        <v>15</v>
      </c>
      <c r="G1104">
        <v>33</v>
      </c>
      <c r="H1104">
        <v>1</v>
      </c>
      <c r="I1104">
        <v>6.5</v>
      </c>
    </row>
    <row r="1105" spans="1:9" x14ac:dyDescent="0.3">
      <c r="A1105">
        <v>1012</v>
      </c>
      <c r="B1105">
        <v>1430</v>
      </c>
      <c r="C1105">
        <v>2025</v>
      </c>
      <c r="D1105">
        <v>4</v>
      </c>
      <c r="E1105">
        <v>6</v>
      </c>
      <c r="F1105">
        <v>12</v>
      </c>
      <c r="G1105">
        <v>18</v>
      </c>
      <c r="H1105">
        <v>2</v>
      </c>
      <c r="I1105">
        <v>8.4</v>
      </c>
    </row>
    <row r="1106" spans="1:9" x14ac:dyDescent="0.3">
      <c r="A1106">
        <v>1015</v>
      </c>
      <c r="B1106">
        <v>1431</v>
      </c>
      <c r="C1106">
        <v>2025</v>
      </c>
      <c r="D1106">
        <v>3</v>
      </c>
      <c r="E1106">
        <v>7</v>
      </c>
      <c r="F1106">
        <v>6</v>
      </c>
      <c r="G1106">
        <v>30</v>
      </c>
      <c r="H1106">
        <v>2</v>
      </c>
      <c r="I1106">
        <v>4.5999999999999996</v>
      </c>
    </row>
    <row r="1107" spans="1:9" x14ac:dyDescent="0.3">
      <c r="A1107">
        <v>1018</v>
      </c>
      <c r="B1107">
        <v>1432</v>
      </c>
      <c r="C1107">
        <v>2025</v>
      </c>
      <c r="D1107">
        <v>4</v>
      </c>
      <c r="E1107">
        <v>3</v>
      </c>
      <c r="F1107">
        <v>9</v>
      </c>
      <c r="G1107">
        <v>36</v>
      </c>
      <c r="H1107">
        <v>10</v>
      </c>
      <c r="I1107">
        <v>8.6999999999999993</v>
      </c>
    </row>
    <row r="1108" spans="1:9" x14ac:dyDescent="0.3">
      <c r="A1108">
        <v>1024</v>
      </c>
      <c r="B1108">
        <v>1435</v>
      </c>
      <c r="C1108">
        <v>2025</v>
      </c>
      <c r="D1108">
        <v>4</v>
      </c>
      <c r="E1108">
        <v>9</v>
      </c>
      <c r="F1108">
        <v>6</v>
      </c>
      <c r="G1108">
        <v>20</v>
      </c>
      <c r="H1108">
        <v>3</v>
      </c>
      <c r="I1108">
        <v>9</v>
      </c>
    </row>
    <row r="1109" spans="1:9" x14ac:dyDescent="0.3">
      <c r="A1109">
        <v>1027</v>
      </c>
      <c r="B1109">
        <v>1437</v>
      </c>
      <c r="C1109">
        <v>2025</v>
      </c>
      <c r="D1109">
        <v>3</v>
      </c>
      <c r="E1109">
        <v>10</v>
      </c>
      <c r="F1109">
        <v>5</v>
      </c>
      <c r="G1109">
        <v>26</v>
      </c>
      <c r="H1109">
        <v>3</v>
      </c>
      <c r="I1109">
        <v>4</v>
      </c>
    </row>
    <row r="1110" spans="1:9" x14ac:dyDescent="0.3">
      <c r="A1110">
        <v>1027</v>
      </c>
      <c r="B1110">
        <v>1437</v>
      </c>
      <c r="C1110">
        <v>2025</v>
      </c>
      <c r="D1110">
        <v>3</v>
      </c>
      <c r="E1110">
        <v>10</v>
      </c>
      <c r="F1110">
        <v>5</v>
      </c>
      <c r="G1110">
        <v>26</v>
      </c>
      <c r="H1110">
        <v>3</v>
      </c>
      <c r="I1110">
        <v>4</v>
      </c>
    </row>
    <row r="1111" spans="1:9" x14ac:dyDescent="0.3">
      <c r="A1111">
        <v>1030</v>
      </c>
      <c r="B1111">
        <v>1438</v>
      </c>
      <c r="C1111">
        <v>2025</v>
      </c>
      <c r="D1111">
        <v>4</v>
      </c>
      <c r="E1111">
        <v>9</v>
      </c>
      <c r="F1111">
        <v>15</v>
      </c>
      <c r="G1111">
        <v>27</v>
      </c>
      <c r="H1111">
        <v>4</v>
      </c>
      <c r="I1111">
        <v>9.3000000000000007</v>
      </c>
    </row>
    <row r="1112" spans="1:9" x14ac:dyDescent="0.3">
      <c r="A1112">
        <v>1033</v>
      </c>
      <c r="B1112">
        <v>1439</v>
      </c>
      <c r="C1112">
        <v>2025</v>
      </c>
      <c r="D1112">
        <v>3</v>
      </c>
      <c r="E1112">
        <v>7</v>
      </c>
      <c r="F1112">
        <v>22</v>
      </c>
      <c r="G1112">
        <v>14</v>
      </c>
      <c r="H1112">
        <v>4</v>
      </c>
      <c r="I1112">
        <v>6.6</v>
      </c>
    </row>
    <row r="1113" spans="1:9" x14ac:dyDescent="0.3">
      <c r="A1113">
        <v>1033</v>
      </c>
      <c r="B1113">
        <v>1439</v>
      </c>
      <c r="C1113">
        <v>2025</v>
      </c>
      <c r="D1113">
        <v>3</v>
      </c>
      <c r="E1113">
        <v>7</v>
      </c>
      <c r="F1113">
        <v>22</v>
      </c>
      <c r="G1113">
        <v>14</v>
      </c>
      <c r="H1113">
        <v>4</v>
      </c>
      <c r="I1113">
        <v>6.6</v>
      </c>
    </row>
    <row r="1114" spans="1:9" x14ac:dyDescent="0.3">
      <c r="A1114">
        <v>1036</v>
      </c>
      <c r="B1114">
        <v>1440</v>
      </c>
      <c r="C1114">
        <v>2025</v>
      </c>
      <c r="D1114">
        <v>3</v>
      </c>
      <c r="E1114">
        <v>8</v>
      </c>
      <c r="F1114">
        <v>9</v>
      </c>
      <c r="G1114">
        <v>17</v>
      </c>
      <c r="H1114">
        <v>1</v>
      </c>
      <c r="I1114">
        <v>4.8</v>
      </c>
    </row>
    <row r="1115" spans="1:9" x14ac:dyDescent="0.3">
      <c r="A1115">
        <v>1039</v>
      </c>
      <c r="B1115">
        <v>1441</v>
      </c>
      <c r="C1115">
        <v>2025</v>
      </c>
      <c r="D1115">
        <v>3</v>
      </c>
      <c r="E1115">
        <v>8</v>
      </c>
      <c r="F1115">
        <v>1</v>
      </c>
      <c r="G1115">
        <v>12</v>
      </c>
      <c r="H1115">
        <v>5</v>
      </c>
      <c r="I1115">
        <v>5.2</v>
      </c>
    </row>
    <row r="1116" spans="1:9" x14ac:dyDescent="0.3">
      <c r="A1116">
        <v>1041</v>
      </c>
      <c r="B1116">
        <v>1442</v>
      </c>
      <c r="C1116">
        <v>2025</v>
      </c>
      <c r="D1116">
        <v>3</v>
      </c>
      <c r="E1116">
        <v>8</v>
      </c>
      <c r="F1116">
        <v>8</v>
      </c>
      <c r="G1116">
        <v>40</v>
      </c>
      <c r="H1116">
        <v>5</v>
      </c>
      <c r="I1116">
        <v>5.2</v>
      </c>
    </row>
    <row r="1117" spans="1:9" x14ac:dyDescent="0.3">
      <c r="A1117">
        <v>1044</v>
      </c>
      <c r="B1117">
        <v>1443</v>
      </c>
      <c r="C1117">
        <v>2025</v>
      </c>
      <c r="D1117">
        <v>4</v>
      </c>
      <c r="E1117">
        <v>3</v>
      </c>
      <c r="F1117">
        <v>3</v>
      </c>
      <c r="G1117">
        <v>21</v>
      </c>
      <c r="H1117">
        <v>12</v>
      </c>
      <c r="I1117">
        <v>8.4</v>
      </c>
    </row>
    <row r="1118" spans="1:9" x14ac:dyDescent="0.3">
      <c r="A1118">
        <v>1046</v>
      </c>
      <c r="B1118">
        <v>1444</v>
      </c>
      <c r="C1118">
        <v>2025</v>
      </c>
      <c r="D1118">
        <v>4</v>
      </c>
      <c r="E1118">
        <v>5</v>
      </c>
      <c r="F1118">
        <v>12</v>
      </c>
      <c r="G1118">
        <v>1</v>
      </c>
      <c r="H1118">
        <v>6</v>
      </c>
      <c r="I1118">
        <v>8.5</v>
      </c>
    </row>
    <row r="1119" spans="1:9" x14ac:dyDescent="0.3">
      <c r="A1119">
        <v>1049</v>
      </c>
      <c r="B1119">
        <v>1445</v>
      </c>
      <c r="C1119">
        <v>2025</v>
      </c>
      <c r="D1119">
        <v>4</v>
      </c>
      <c r="E1119">
        <v>7</v>
      </c>
      <c r="F1119">
        <v>17</v>
      </c>
      <c r="G1119">
        <v>22</v>
      </c>
      <c r="H1119">
        <v>0</v>
      </c>
      <c r="I1119">
        <v>9.1</v>
      </c>
    </row>
    <row r="1120" spans="1:9" x14ac:dyDescent="0.3">
      <c r="A1120">
        <v>1051</v>
      </c>
      <c r="B1120">
        <v>1446</v>
      </c>
      <c r="C1120">
        <v>2025</v>
      </c>
      <c r="D1120">
        <v>3</v>
      </c>
      <c r="E1120">
        <v>10</v>
      </c>
      <c r="F1120">
        <v>4</v>
      </c>
      <c r="G1120">
        <v>23</v>
      </c>
      <c r="H1120">
        <v>1</v>
      </c>
      <c r="I1120">
        <v>2.6</v>
      </c>
    </row>
    <row r="1121" spans="1:9" x14ac:dyDescent="0.3">
      <c r="A1121">
        <v>1054</v>
      </c>
      <c r="B1121">
        <v>1447</v>
      </c>
      <c r="C1121">
        <v>2025</v>
      </c>
      <c r="D1121">
        <v>3</v>
      </c>
      <c r="E1121">
        <v>4</v>
      </c>
      <c r="F1121">
        <v>5</v>
      </c>
      <c r="G1121">
        <v>43</v>
      </c>
      <c r="H1121">
        <v>6</v>
      </c>
      <c r="I1121">
        <v>5.7</v>
      </c>
    </row>
    <row r="1122" spans="1:9" x14ac:dyDescent="0.3">
      <c r="A1122">
        <v>1057</v>
      </c>
      <c r="B1122">
        <v>1448</v>
      </c>
      <c r="C1122">
        <v>2025</v>
      </c>
      <c r="D1122">
        <v>4</v>
      </c>
      <c r="E1122">
        <v>9</v>
      </c>
      <c r="F1122">
        <v>12</v>
      </c>
      <c r="G1122">
        <v>6</v>
      </c>
      <c r="H1122">
        <v>4</v>
      </c>
      <c r="I1122">
        <v>9</v>
      </c>
    </row>
    <row r="1123" spans="1:9" x14ac:dyDescent="0.3">
      <c r="A1123">
        <v>1059</v>
      </c>
      <c r="B1123">
        <v>1449</v>
      </c>
      <c r="C1123">
        <v>2025</v>
      </c>
      <c r="D1123">
        <v>3</v>
      </c>
      <c r="E1123">
        <v>4</v>
      </c>
      <c r="F1123">
        <v>15</v>
      </c>
      <c r="G1123">
        <v>36</v>
      </c>
      <c r="H1123">
        <v>5</v>
      </c>
      <c r="I1123">
        <v>5.2</v>
      </c>
    </row>
    <row r="1124" spans="1:9" x14ac:dyDescent="0.3">
      <c r="A1124">
        <v>1062</v>
      </c>
      <c r="B1124">
        <v>1450</v>
      </c>
      <c r="C1124">
        <v>2025</v>
      </c>
      <c r="D1124">
        <v>4</v>
      </c>
      <c r="E1124">
        <v>4</v>
      </c>
      <c r="F1124">
        <v>18</v>
      </c>
      <c r="G1124">
        <v>12</v>
      </c>
      <c r="H1124">
        <v>10</v>
      </c>
      <c r="I1124">
        <v>8.5</v>
      </c>
    </row>
    <row r="1125" spans="1:9" x14ac:dyDescent="0.3">
      <c r="A1125">
        <v>1065</v>
      </c>
      <c r="B1125">
        <v>1451</v>
      </c>
      <c r="C1125">
        <v>2025</v>
      </c>
      <c r="D1125">
        <v>2</v>
      </c>
      <c r="E1125">
        <v>6</v>
      </c>
      <c r="F1125">
        <v>0</v>
      </c>
      <c r="G1125">
        <v>33</v>
      </c>
      <c r="H1125">
        <v>5</v>
      </c>
      <c r="I1125">
        <v>0.8</v>
      </c>
    </row>
    <row r="1126" spans="1:9" x14ac:dyDescent="0.3">
      <c r="A1126">
        <v>1068</v>
      </c>
      <c r="B1126">
        <v>1452</v>
      </c>
      <c r="C1126">
        <v>2025</v>
      </c>
      <c r="D1126">
        <v>5</v>
      </c>
      <c r="E1126">
        <v>8</v>
      </c>
      <c r="F1126">
        <v>13</v>
      </c>
      <c r="G1126">
        <v>17</v>
      </c>
      <c r="H1126">
        <v>4</v>
      </c>
      <c r="I1126">
        <v>11.1</v>
      </c>
    </row>
    <row r="1127" spans="1:9" x14ac:dyDescent="0.3">
      <c r="A1127">
        <v>1071</v>
      </c>
      <c r="B1127">
        <v>1453</v>
      </c>
      <c r="C1127">
        <v>2025</v>
      </c>
      <c r="D1127">
        <v>5</v>
      </c>
      <c r="E1127">
        <v>6</v>
      </c>
      <c r="F1127">
        <v>3</v>
      </c>
      <c r="G1127">
        <v>32</v>
      </c>
      <c r="H1127">
        <v>1</v>
      </c>
      <c r="I1127">
        <v>10.1</v>
      </c>
    </row>
    <row r="1128" spans="1:9" x14ac:dyDescent="0.3">
      <c r="A1128">
        <v>1073</v>
      </c>
      <c r="B1128">
        <v>1454</v>
      </c>
      <c r="C1128">
        <v>2025</v>
      </c>
      <c r="D1128">
        <v>2</v>
      </c>
      <c r="E1128">
        <v>8</v>
      </c>
      <c r="F1128">
        <v>12</v>
      </c>
      <c r="G1128">
        <v>25</v>
      </c>
      <c r="H1128">
        <v>0</v>
      </c>
      <c r="I1128">
        <v>0.4</v>
      </c>
    </row>
    <row r="1129" spans="1:9" x14ac:dyDescent="0.3">
      <c r="A1129">
        <v>1076</v>
      </c>
      <c r="B1129">
        <v>1455</v>
      </c>
      <c r="C1129">
        <v>2025</v>
      </c>
      <c r="D1129">
        <v>5</v>
      </c>
      <c r="E1129">
        <v>5</v>
      </c>
      <c r="F1129">
        <v>10</v>
      </c>
      <c r="G1129">
        <v>19</v>
      </c>
      <c r="H1129">
        <v>6</v>
      </c>
      <c r="I1129">
        <v>13.3</v>
      </c>
    </row>
    <row r="1130" spans="1:9" x14ac:dyDescent="0.3">
      <c r="A1130">
        <v>1078</v>
      </c>
      <c r="B1130">
        <v>1456</v>
      </c>
      <c r="C1130">
        <v>2025</v>
      </c>
      <c r="D1130">
        <v>4</v>
      </c>
      <c r="E1130">
        <v>5</v>
      </c>
      <c r="F1130">
        <v>3</v>
      </c>
      <c r="G1130">
        <v>33</v>
      </c>
      <c r="H1130">
        <v>3</v>
      </c>
      <c r="I1130">
        <v>8.5</v>
      </c>
    </row>
    <row r="1131" spans="1:9" x14ac:dyDescent="0.3">
      <c r="A1131">
        <v>1082</v>
      </c>
      <c r="B1131">
        <v>1458</v>
      </c>
      <c r="C1131">
        <v>2025</v>
      </c>
      <c r="D1131">
        <v>4</v>
      </c>
      <c r="E1131">
        <v>6</v>
      </c>
      <c r="F1131">
        <v>9</v>
      </c>
      <c r="G1131">
        <v>27</v>
      </c>
      <c r="H1131">
        <v>13</v>
      </c>
      <c r="I1131">
        <v>9.5</v>
      </c>
    </row>
    <row r="1132" spans="1:9" x14ac:dyDescent="0.3">
      <c r="A1132">
        <v>1087</v>
      </c>
      <c r="B1132">
        <v>1460</v>
      </c>
      <c r="C1132">
        <v>2025</v>
      </c>
      <c r="D1132">
        <v>4</v>
      </c>
      <c r="E1132">
        <v>6</v>
      </c>
      <c r="F1132">
        <v>5</v>
      </c>
      <c r="G1132">
        <v>28</v>
      </c>
      <c r="H1132">
        <v>3</v>
      </c>
      <c r="I1132">
        <v>6.8</v>
      </c>
    </row>
    <row r="1133" spans="1:9" x14ac:dyDescent="0.3">
      <c r="A1133">
        <v>1090</v>
      </c>
      <c r="B1133">
        <v>1461</v>
      </c>
      <c r="C1133">
        <v>2025</v>
      </c>
      <c r="D1133">
        <v>3</v>
      </c>
      <c r="E1133">
        <v>7</v>
      </c>
      <c r="F1133">
        <v>12</v>
      </c>
      <c r="G1133">
        <v>17</v>
      </c>
      <c r="H1133">
        <v>6</v>
      </c>
      <c r="I1133">
        <v>5</v>
      </c>
    </row>
    <row r="1134" spans="1:9" x14ac:dyDescent="0.3">
      <c r="A1134">
        <v>1093</v>
      </c>
      <c r="B1134">
        <v>1462</v>
      </c>
      <c r="C1134">
        <v>2025</v>
      </c>
      <c r="D1134">
        <v>3</v>
      </c>
      <c r="E1134">
        <v>9</v>
      </c>
      <c r="F1134">
        <v>2</v>
      </c>
      <c r="G1134">
        <v>19</v>
      </c>
      <c r="H1134">
        <v>4</v>
      </c>
      <c r="I1134">
        <v>4.0999999999999996</v>
      </c>
    </row>
    <row r="1135" spans="1:9" x14ac:dyDescent="0.3">
      <c r="A1135">
        <v>1096</v>
      </c>
      <c r="B1135">
        <v>1463</v>
      </c>
      <c r="C1135">
        <v>2025</v>
      </c>
      <c r="D1135">
        <v>3</v>
      </c>
      <c r="E1135">
        <v>77</v>
      </c>
      <c r="F1135">
        <v>3</v>
      </c>
      <c r="G1135">
        <v>30</v>
      </c>
      <c r="H1135">
        <v>3</v>
      </c>
      <c r="I1135">
        <v>6.3</v>
      </c>
    </row>
    <row r="1136" spans="1:9" x14ac:dyDescent="0.3">
      <c r="A1136">
        <v>1099</v>
      </c>
      <c r="B1136">
        <v>1464</v>
      </c>
      <c r="C1136">
        <v>2025</v>
      </c>
      <c r="D1136">
        <v>4</v>
      </c>
      <c r="E1136">
        <v>9</v>
      </c>
      <c r="F1136">
        <v>2</v>
      </c>
      <c r="G1136">
        <v>19</v>
      </c>
      <c r="H1136">
        <v>8</v>
      </c>
      <c r="I1136">
        <v>9</v>
      </c>
    </row>
    <row r="1137" spans="1:9" x14ac:dyDescent="0.3">
      <c r="A1137">
        <v>1102</v>
      </c>
      <c r="B1137">
        <v>1465</v>
      </c>
      <c r="C1137">
        <v>2025</v>
      </c>
      <c r="D1137">
        <v>3</v>
      </c>
      <c r="E1137">
        <v>6</v>
      </c>
      <c r="F1137">
        <v>18</v>
      </c>
      <c r="G1137">
        <v>38</v>
      </c>
      <c r="H1137">
        <v>6</v>
      </c>
      <c r="I1137">
        <v>4.7</v>
      </c>
    </row>
    <row r="1138" spans="1:9" x14ac:dyDescent="0.3">
      <c r="A1138">
        <v>1105</v>
      </c>
      <c r="B1138">
        <v>1466</v>
      </c>
      <c r="C1138">
        <v>2025</v>
      </c>
      <c r="D1138">
        <v>4</v>
      </c>
      <c r="E1138">
        <v>6</v>
      </c>
      <c r="F1138">
        <v>5</v>
      </c>
      <c r="G1138">
        <v>42</v>
      </c>
      <c r="H1138">
        <v>4</v>
      </c>
      <c r="I1138">
        <v>8.8000000000000007</v>
      </c>
    </row>
    <row r="1139" spans="1:9" x14ac:dyDescent="0.3">
      <c r="A1139">
        <v>1106</v>
      </c>
      <c r="B1139">
        <v>1468</v>
      </c>
      <c r="C1139">
        <v>2025</v>
      </c>
      <c r="D1139">
        <v>4</v>
      </c>
      <c r="E1139">
        <v>6</v>
      </c>
      <c r="F1139">
        <v>3</v>
      </c>
      <c r="G1139">
        <v>26</v>
      </c>
      <c r="H1139">
        <v>6</v>
      </c>
      <c r="I1139">
        <v>10.199999999999999</v>
      </c>
    </row>
    <row r="1140" spans="1:9" x14ac:dyDescent="0.3">
      <c r="A1140">
        <v>1109</v>
      </c>
      <c r="B1140">
        <v>1469</v>
      </c>
      <c r="C1140">
        <v>2025</v>
      </c>
      <c r="D1140">
        <v>3</v>
      </c>
      <c r="E1140">
        <v>2</v>
      </c>
      <c r="F1140">
        <v>8</v>
      </c>
      <c r="G1140">
        <v>11</v>
      </c>
      <c r="H1140">
        <v>7</v>
      </c>
      <c r="I1140">
        <v>4.4000000000000004</v>
      </c>
    </row>
    <row r="1141" spans="1:9" x14ac:dyDescent="0.3">
      <c r="A1141">
        <v>1112</v>
      </c>
      <c r="B1141">
        <v>1470</v>
      </c>
      <c r="C1141">
        <v>2025</v>
      </c>
      <c r="D1141">
        <v>3</v>
      </c>
      <c r="E1141">
        <v>7</v>
      </c>
      <c r="F1141">
        <v>8</v>
      </c>
      <c r="G1141">
        <v>30</v>
      </c>
      <c r="H1141">
        <v>5</v>
      </c>
      <c r="I1141">
        <v>6.5</v>
      </c>
    </row>
    <row r="1142" spans="1:9" x14ac:dyDescent="0.3">
      <c r="A1142">
        <v>1115</v>
      </c>
      <c r="B1142">
        <v>1471</v>
      </c>
      <c r="C1142">
        <v>2025</v>
      </c>
      <c r="D1142">
        <v>3</v>
      </c>
      <c r="E1142">
        <v>6</v>
      </c>
      <c r="F1142">
        <v>7</v>
      </c>
      <c r="G1142">
        <v>25</v>
      </c>
      <c r="H1142">
        <v>1</v>
      </c>
      <c r="I1142">
        <v>4.3</v>
      </c>
    </row>
    <row r="1143" spans="1:9" x14ac:dyDescent="0.3">
      <c r="A1143">
        <v>1118</v>
      </c>
      <c r="B1143">
        <v>1472</v>
      </c>
      <c r="C1143">
        <v>2025</v>
      </c>
      <c r="D1143">
        <v>5</v>
      </c>
      <c r="E1143">
        <v>9</v>
      </c>
      <c r="F1143">
        <v>5</v>
      </c>
      <c r="G1143">
        <v>13</v>
      </c>
      <c r="H1143">
        <v>2</v>
      </c>
      <c r="I1143">
        <v>11.3</v>
      </c>
    </row>
    <row r="1144" spans="1:9" x14ac:dyDescent="0.3">
      <c r="A1144">
        <v>1121</v>
      </c>
      <c r="B1144">
        <v>1473</v>
      </c>
      <c r="C1144">
        <v>2025</v>
      </c>
      <c r="D1144">
        <v>3</v>
      </c>
      <c r="E1144">
        <v>6</v>
      </c>
      <c r="F1144">
        <v>15</v>
      </c>
      <c r="G1144">
        <v>24</v>
      </c>
      <c r="H1144">
        <v>6</v>
      </c>
      <c r="I1144">
        <v>5.3</v>
      </c>
    </row>
    <row r="1145" spans="1:9" x14ac:dyDescent="0.3">
      <c r="A1145">
        <v>1123</v>
      </c>
      <c r="B1145">
        <v>1474</v>
      </c>
      <c r="C1145">
        <v>2025</v>
      </c>
      <c r="D1145">
        <v>3</v>
      </c>
      <c r="E1145">
        <v>8</v>
      </c>
      <c r="F1145">
        <v>12</v>
      </c>
      <c r="G1145">
        <v>27</v>
      </c>
      <c r="H1145">
        <v>6</v>
      </c>
      <c r="I1145">
        <v>6.2</v>
      </c>
    </row>
    <row r="1146" spans="1:9" x14ac:dyDescent="0.3">
      <c r="A1146">
        <v>1126</v>
      </c>
      <c r="B1146">
        <v>1475</v>
      </c>
      <c r="C1146">
        <v>2025</v>
      </c>
      <c r="D1146">
        <v>3</v>
      </c>
      <c r="E1146">
        <v>5</v>
      </c>
      <c r="F1146">
        <v>12</v>
      </c>
      <c r="G1146">
        <v>30</v>
      </c>
      <c r="H1146">
        <v>6</v>
      </c>
      <c r="I1146">
        <v>4.3</v>
      </c>
    </row>
    <row r="1147" spans="1:9" x14ac:dyDescent="0.3">
      <c r="A1147">
        <v>1131</v>
      </c>
      <c r="B1147">
        <v>1477</v>
      </c>
      <c r="C1147">
        <v>2025</v>
      </c>
      <c r="D1147">
        <v>4</v>
      </c>
      <c r="E1147">
        <v>6</v>
      </c>
      <c r="F1147">
        <v>9</v>
      </c>
      <c r="G1147">
        <v>29</v>
      </c>
      <c r="H1147">
        <v>9</v>
      </c>
      <c r="I1147">
        <v>7.6</v>
      </c>
    </row>
    <row r="1148" spans="1:9" x14ac:dyDescent="0.3">
      <c r="A1148">
        <v>1134</v>
      </c>
      <c r="B1148">
        <v>1478</v>
      </c>
      <c r="C1148">
        <v>2025</v>
      </c>
      <c r="D1148">
        <v>3</v>
      </c>
      <c r="E1148">
        <v>6</v>
      </c>
      <c r="F1148">
        <v>2</v>
      </c>
      <c r="G1148">
        <v>27</v>
      </c>
      <c r="H1148">
        <v>3</v>
      </c>
      <c r="I1148">
        <v>6.2</v>
      </c>
    </row>
    <row r="1149" spans="1:9" x14ac:dyDescent="0.3">
      <c r="A1149">
        <v>1135</v>
      </c>
      <c r="B1149">
        <v>1479</v>
      </c>
      <c r="C1149">
        <v>2025</v>
      </c>
      <c r="D1149">
        <v>4</v>
      </c>
      <c r="E1149">
        <v>7</v>
      </c>
      <c r="F1149">
        <v>18</v>
      </c>
      <c r="G1149">
        <v>20</v>
      </c>
      <c r="H1149">
        <v>4</v>
      </c>
      <c r="I1149">
        <v>7.8</v>
      </c>
    </row>
    <row r="1150" spans="1:9" x14ac:dyDescent="0.3">
      <c r="A1150">
        <v>1138</v>
      </c>
      <c r="B1150">
        <v>1480</v>
      </c>
      <c r="C1150">
        <v>2025</v>
      </c>
      <c r="D1150">
        <v>5</v>
      </c>
      <c r="E1150">
        <v>9</v>
      </c>
      <c r="F1150">
        <v>9</v>
      </c>
      <c r="G1150">
        <v>16</v>
      </c>
      <c r="H1150">
        <v>3</v>
      </c>
      <c r="I1150">
        <v>12.8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29EA-4D7E-4035-AEF8-0800D319E2C7}">
  <sheetPr>
    <tabColor theme="1" tint="0.499984740745262"/>
  </sheetPr>
  <dimension ref="A1:D9"/>
  <sheetViews>
    <sheetView showGridLines="0" workbookViewId="0">
      <selection activeCell="C24" sqref="C24"/>
    </sheetView>
  </sheetViews>
  <sheetFormatPr defaultRowHeight="14.4" x14ac:dyDescent="0.3"/>
  <cols>
    <col min="1" max="1" width="16.88671875" bestFit="1" customWidth="1"/>
    <col min="2" max="2" width="20.33203125" bestFit="1" customWidth="1"/>
    <col min="3" max="3" width="12.21875" bestFit="1" customWidth="1"/>
    <col min="4" max="4" width="16.77734375" bestFit="1" customWidth="1"/>
  </cols>
  <sheetData>
    <row r="1" spans="1:4" x14ac:dyDescent="0.3">
      <c r="A1" t="s">
        <v>6</v>
      </c>
      <c r="B1" t="s">
        <v>648</v>
      </c>
      <c r="C1" t="s">
        <v>649</v>
      </c>
      <c r="D1" t="s">
        <v>650</v>
      </c>
    </row>
    <row r="2" spans="1:4" x14ac:dyDescent="0.3">
      <c r="A2">
        <v>10</v>
      </c>
      <c r="B2" t="s">
        <v>651</v>
      </c>
      <c r="C2" t="s">
        <v>21</v>
      </c>
      <c r="D2">
        <v>4200000</v>
      </c>
    </row>
    <row r="3" spans="1:4" x14ac:dyDescent="0.3">
      <c r="A3">
        <v>20</v>
      </c>
      <c r="B3" t="s">
        <v>652</v>
      </c>
      <c r="C3" t="s">
        <v>21</v>
      </c>
      <c r="D3">
        <v>3100000</v>
      </c>
    </row>
    <row r="4" spans="1:4" x14ac:dyDescent="0.3">
      <c r="A4">
        <v>30</v>
      </c>
      <c r="B4" t="s">
        <v>653</v>
      </c>
      <c r="C4" t="s">
        <v>46</v>
      </c>
      <c r="D4">
        <v>1500000</v>
      </c>
    </row>
    <row r="5" spans="1:4" x14ac:dyDescent="0.3">
      <c r="A5">
        <v>40</v>
      </c>
      <c r="B5" t="s">
        <v>654</v>
      </c>
      <c r="C5" t="s">
        <v>21</v>
      </c>
      <c r="D5">
        <v>900000</v>
      </c>
    </row>
    <row r="6" spans="1:4" x14ac:dyDescent="0.3">
      <c r="A6">
        <v>50</v>
      </c>
      <c r="B6" t="s">
        <v>655</v>
      </c>
      <c r="C6" t="s">
        <v>52</v>
      </c>
      <c r="D6">
        <v>1300000</v>
      </c>
    </row>
    <row r="7" spans="1:4" x14ac:dyDescent="0.3">
      <c r="A7">
        <v>60</v>
      </c>
      <c r="B7" t="s">
        <v>656</v>
      </c>
      <c r="C7" t="s">
        <v>52</v>
      </c>
      <c r="D7">
        <v>2000000</v>
      </c>
    </row>
    <row r="8" spans="1:4" x14ac:dyDescent="0.3">
      <c r="A8">
        <v>70</v>
      </c>
      <c r="B8" t="s">
        <v>657</v>
      </c>
      <c r="C8" t="s">
        <v>31</v>
      </c>
      <c r="D8">
        <v>2500000</v>
      </c>
    </row>
    <row r="9" spans="1:4" x14ac:dyDescent="0.3">
      <c r="A9">
        <v>80</v>
      </c>
      <c r="B9" t="s">
        <v>658</v>
      </c>
      <c r="C9" t="s">
        <v>21</v>
      </c>
      <c r="D9">
        <v>700000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0AE9-341A-49AD-8037-C93874F26E57}">
  <sheetPr>
    <tabColor theme="4" tint="0.39997558519241921"/>
  </sheetPr>
  <dimension ref="A1:U481"/>
  <sheetViews>
    <sheetView showGridLines="0" tabSelected="1" zoomScale="59" zoomScaleNormal="59" workbookViewId="0">
      <selection activeCell="L20" sqref="L20"/>
    </sheetView>
  </sheetViews>
  <sheetFormatPr defaultRowHeight="14.4" x14ac:dyDescent="0.3"/>
  <cols>
    <col min="1" max="1" width="21.21875" bestFit="1" customWidth="1"/>
    <col min="2" max="2" width="15.5546875" bestFit="1" customWidth="1"/>
    <col min="3" max="3" width="19.33203125" bestFit="1" customWidth="1"/>
    <col min="4" max="4" width="13.44140625" bestFit="1" customWidth="1"/>
    <col min="5" max="5" width="24.21875" style="1" bestFit="1" customWidth="1"/>
    <col min="6" max="6" width="25.77734375" style="1" bestFit="1" customWidth="1"/>
    <col min="7" max="7" width="27.44140625" bestFit="1" customWidth="1"/>
    <col min="8" max="8" width="26.6640625" bestFit="1" customWidth="1"/>
    <col min="9" max="9" width="14.77734375" bestFit="1" customWidth="1"/>
    <col min="10" max="10" width="14" bestFit="1" customWidth="1"/>
    <col min="11" max="11" width="22.88671875" bestFit="1" customWidth="1"/>
    <col min="12" max="12" width="32.88671875" style="15" bestFit="1" customWidth="1"/>
    <col min="13" max="13" width="16.109375" bestFit="1" customWidth="1"/>
    <col min="14" max="14" width="24.21875" style="1" bestFit="1" customWidth="1"/>
    <col min="15" max="15" width="35.6640625" bestFit="1" customWidth="1"/>
    <col min="16" max="16" width="39.109375" bestFit="1" customWidth="1"/>
    <col min="17" max="17" width="31.5546875" bestFit="1" customWidth="1"/>
    <col min="18" max="18" width="16.109375" bestFit="1" customWidth="1"/>
    <col min="19" max="19" width="23.88671875" bestFit="1" customWidth="1"/>
    <col min="20" max="20" width="27" bestFit="1" customWidth="1"/>
    <col min="21" max="21" width="16.109375" bestFit="1" customWidth="1"/>
  </cols>
  <sheetData>
    <row r="1" spans="1:21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4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648</v>
      </c>
      <c r="R1" s="7" t="s">
        <v>693</v>
      </c>
      <c r="S1" s="7" t="s">
        <v>694</v>
      </c>
      <c r="T1" s="7" t="s">
        <v>695</v>
      </c>
      <c r="U1" s="7" t="s">
        <v>301</v>
      </c>
    </row>
    <row r="2" spans="1:21" x14ac:dyDescent="0.3">
      <c r="A2">
        <v>1081</v>
      </c>
      <c r="B2" t="s">
        <v>35</v>
      </c>
      <c r="C2" t="s">
        <v>17</v>
      </c>
      <c r="D2" t="s">
        <v>18</v>
      </c>
      <c r="E2" s="1">
        <v>29381</v>
      </c>
      <c r="F2" s="1">
        <v>43120</v>
      </c>
      <c r="G2">
        <v>60</v>
      </c>
      <c r="H2" t="s">
        <v>19</v>
      </c>
      <c r="I2" t="s">
        <v>20</v>
      </c>
      <c r="J2" t="s">
        <v>21</v>
      </c>
      <c r="K2" t="s">
        <v>22</v>
      </c>
      <c r="L2" s="15">
        <v>8000</v>
      </c>
      <c r="M2" t="s">
        <v>23</v>
      </c>
      <c r="N2" s="1">
        <v>45006</v>
      </c>
      <c r="O2" t="s">
        <v>24</v>
      </c>
      <c r="P2" t="s">
        <v>25</v>
      </c>
      <c r="Q2" t="str">
        <f>_xlfn.XLOOKUP(angajati__2[[#This Row],[id_departament]],departamente!A:A,departamente!B:B)</f>
        <v>Suport Clienți</v>
      </c>
      <c r="R2">
        <f t="shared" ref="R2:R65" si="0">DATEDIF(E2,DATE(2025,12,31), "y")</f>
        <v>45</v>
      </c>
      <c r="S2">
        <f t="shared" ref="S2:S65" si="1">ROUND(YEARFRAC(F2, IF(M2="Plecat", N2, DATE(2025,12,31)), 1), 1)</f>
        <v>5.2</v>
      </c>
      <c r="T2" t="str" cm="1">
        <f t="array" ref="T2">_xlfn.IFS(
    S2&lt;1, "&lt; 1 an",
    S2&lt;3, "1–3 ani",
    S2&lt;5, "3–5 ani",
    S2&gt;=5, "&gt; 5 ani"
)</f>
        <v>&gt; 5 ani</v>
      </c>
      <c r="U2">
        <f>IF(M2="Plecat", 1, 0)</f>
        <v>1</v>
      </c>
    </row>
    <row r="3" spans="1:21" x14ac:dyDescent="0.3">
      <c r="A3">
        <v>1074</v>
      </c>
      <c r="B3" t="s">
        <v>26</v>
      </c>
      <c r="C3" t="s">
        <v>27</v>
      </c>
      <c r="D3" t="s">
        <v>37</v>
      </c>
      <c r="E3" s="1">
        <v>35862</v>
      </c>
      <c r="F3" s="1">
        <v>45497</v>
      </c>
      <c r="G3">
        <v>60</v>
      </c>
      <c r="H3" t="s">
        <v>29</v>
      </c>
      <c r="I3" t="s">
        <v>30</v>
      </c>
      <c r="J3" t="s">
        <v>31</v>
      </c>
      <c r="K3" t="s">
        <v>22</v>
      </c>
      <c r="L3" s="15">
        <v>4100</v>
      </c>
      <c r="M3" t="s">
        <v>32</v>
      </c>
      <c r="P3" t="s">
        <v>34</v>
      </c>
      <c r="Q3" t="str">
        <f>_xlfn.XLOOKUP(angajati__2[[#This Row],[id_departament]],departamente!A:A,departamente!B:B)</f>
        <v>Suport Clienți</v>
      </c>
      <c r="R3">
        <f t="shared" si="0"/>
        <v>27</v>
      </c>
      <c r="S3">
        <f t="shared" si="1"/>
        <v>1.4</v>
      </c>
      <c r="T3" t="str" cm="1">
        <f t="array" ref="T3">_xlfn.IFS(
    S3&lt;1, "&lt; 1 an",
    S3&lt;3, "1–3 ani",
    S3&lt;5, "3–5 ani",
    S3&gt;=5, "&gt; 5 ani"
)</f>
        <v>1–3 ani</v>
      </c>
      <c r="U3">
        <f t="shared" ref="U3:U65" si="2">IF(M3="Plecat", 1, 0)</f>
        <v>0</v>
      </c>
    </row>
    <row r="4" spans="1:21" x14ac:dyDescent="0.3">
      <c r="A4">
        <v>1135</v>
      </c>
      <c r="B4" t="s">
        <v>35</v>
      </c>
      <c r="C4" t="s">
        <v>36</v>
      </c>
      <c r="D4" t="s">
        <v>37</v>
      </c>
      <c r="E4" s="1">
        <v>27401</v>
      </c>
      <c r="F4" s="1">
        <v>43248</v>
      </c>
      <c r="G4">
        <v>70</v>
      </c>
      <c r="H4" t="s">
        <v>38</v>
      </c>
      <c r="I4" t="s">
        <v>39</v>
      </c>
      <c r="J4" t="s">
        <v>21</v>
      </c>
      <c r="K4" t="s">
        <v>40</v>
      </c>
      <c r="L4" s="15">
        <v>7800</v>
      </c>
      <c r="M4" t="s">
        <v>32</v>
      </c>
      <c r="P4" t="s">
        <v>41</v>
      </c>
      <c r="Q4" t="str">
        <f>_xlfn.XLOOKUP(angajati__2[[#This Row],[id_departament]],departamente!A:A,departamente!B:B)</f>
        <v>Operațiuni</v>
      </c>
      <c r="R4">
        <f t="shared" si="0"/>
        <v>50</v>
      </c>
      <c r="S4">
        <f t="shared" si="1"/>
        <v>7.6</v>
      </c>
      <c r="T4" t="str" cm="1">
        <f t="array" ref="T4">_xlfn.IFS(
    S4&lt;1, "&lt; 1 an",
    S4&lt;3, "1–3 ani",
    S4&lt;5, "3–5 ani",
    S4&gt;=5, "&gt; 5 ani"
)</f>
        <v>&gt; 5 ani</v>
      </c>
      <c r="U4">
        <f t="shared" si="2"/>
        <v>0</v>
      </c>
    </row>
    <row r="5" spans="1:21" x14ac:dyDescent="0.3">
      <c r="A5">
        <v>1473</v>
      </c>
      <c r="B5" t="s">
        <v>42</v>
      </c>
      <c r="C5" t="s">
        <v>43</v>
      </c>
      <c r="D5" t="s">
        <v>37</v>
      </c>
      <c r="E5" s="1">
        <v>34233</v>
      </c>
      <c r="F5" s="1">
        <v>43666</v>
      </c>
      <c r="G5">
        <v>10</v>
      </c>
      <c r="H5" t="s">
        <v>44</v>
      </c>
      <c r="I5" t="s">
        <v>45</v>
      </c>
      <c r="J5" t="s">
        <v>46</v>
      </c>
      <c r="K5" t="s">
        <v>22</v>
      </c>
      <c r="L5" s="15">
        <v>6100</v>
      </c>
      <c r="M5" t="s">
        <v>32</v>
      </c>
      <c r="P5" t="s">
        <v>47</v>
      </c>
      <c r="Q5" t="str">
        <f>_xlfn.XLOOKUP(angajati__2[[#This Row],[id_departament]],departamente!A:A,departamente!B:B)</f>
        <v>IT</v>
      </c>
      <c r="R5">
        <f t="shared" si="0"/>
        <v>32</v>
      </c>
      <c r="S5">
        <f t="shared" si="1"/>
        <v>6.4</v>
      </c>
      <c r="T5" t="str" cm="1">
        <f t="array" ref="T5">_xlfn.IFS(
    S5&lt;1, "&lt; 1 an",
    S5&lt;3, "1–3 ani",
    S5&lt;5, "3–5 ani",
    S5&gt;=5, "&gt; 5 ani"
)</f>
        <v>&gt; 5 ani</v>
      </c>
      <c r="U5">
        <f t="shared" si="2"/>
        <v>0</v>
      </c>
    </row>
    <row r="6" spans="1:21" x14ac:dyDescent="0.3">
      <c r="A6">
        <v>1145</v>
      </c>
      <c r="B6" t="s">
        <v>48</v>
      </c>
      <c r="C6" t="s">
        <v>43</v>
      </c>
      <c r="D6" t="s">
        <v>37</v>
      </c>
      <c r="E6" s="1">
        <v>34452</v>
      </c>
      <c r="F6" s="1">
        <v>44808</v>
      </c>
      <c r="G6">
        <v>10</v>
      </c>
      <c r="H6" t="s">
        <v>49</v>
      </c>
      <c r="I6" t="s">
        <v>39</v>
      </c>
      <c r="J6" t="s">
        <v>21</v>
      </c>
      <c r="K6" t="s">
        <v>22</v>
      </c>
      <c r="L6" s="15">
        <v>14500</v>
      </c>
      <c r="M6" t="s">
        <v>32</v>
      </c>
      <c r="P6" t="s">
        <v>50</v>
      </c>
      <c r="Q6" t="str">
        <f>_xlfn.XLOOKUP(angajati__2[[#This Row],[id_departament]],departamente!A:A,departamente!B:B)</f>
        <v>IT</v>
      </c>
      <c r="R6">
        <f t="shared" si="0"/>
        <v>31</v>
      </c>
      <c r="S6">
        <f t="shared" si="1"/>
        <v>3.3</v>
      </c>
      <c r="T6" t="str" cm="1">
        <f t="array" ref="T6">_xlfn.IFS(
    S6&lt;1, "&lt; 1 an",
    S6&lt;3, "1–3 ani",
    S6&lt;5, "3–5 ani",
    S6&gt;=5, "&gt; 5 ani"
)</f>
        <v>3–5 ani</v>
      </c>
      <c r="U6">
        <f t="shared" si="2"/>
        <v>0</v>
      </c>
    </row>
    <row r="7" spans="1:21" x14ac:dyDescent="0.3">
      <c r="A7">
        <v>1038</v>
      </c>
      <c r="B7" t="s">
        <v>48</v>
      </c>
      <c r="C7" t="s">
        <v>74</v>
      </c>
      <c r="D7" t="s">
        <v>18</v>
      </c>
      <c r="E7" s="1">
        <v>33039</v>
      </c>
      <c r="F7" s="1">
        <v>42929</v>
      </c>
      <c r="G7">
        <v>60</v>
      </c>
      <c r="H7" t="s">
        <v>19</v>
      </c>
      <c r="I7" t="s">
        <v>20</v>
      </c>
      <c r="J7" t="s">
        <v>52</v>
      </c>
      <c r="K7" t="s">
        <v>22</v>
      </c>
      <c r="L7" s="15">
        <v>8000</v>
      </c>
      <c r="M7" t="s">
        <v>32</v>
      </c>
      <c r="P7" t="s">
        <v>53</v>
      </c>
      <c r="Q7" t="str">
        <f>_xlfn.XLOOKUP(angajati__2[[#This Row],[id_departament]],departamente!A:A,departamente!B:B)</f>
        <v>Suport Clienți</v>
      </c>
      <c r="R7">
        <f t="shared" si="0"/>
        <v>35</v>
      </c>
      <c r="S7">
        <f t="shared" si="1"/>
        <v>8.5</v>
      </c>
      <c r="T7" t="str" cm="1">
        <f t="array" ref="T7">_xlfn.IFS(
    S7&lt;1, "&lt; 1 an",
    S7&lt;3, "1–3 ani",
    S7&lt;5, "3–5 ani",
    S7&gt;=5, "&gt; 5 ani"
)</f>
        <v>&gt; 5 ani</v>
      </c>
      <c r="U7">
        <f t="shared" si="2"/>
        <v>0</v>
      </c>
    </row>
    <row r="8" spans="1:21" x14ac:dyDescent="0.3">
      <c r="A8">
        <v>1167</v>
      </c>
      <c r="B8" t="s">
        <v>54</v>
      </c>
      <c r="C8" t="s">
        <v>27</v>
      </c>
      <c r="D8" t="s">
        <v>37</v>
      </c>
      <c r="E8" s="1">
        <v>28122</v>
      </c>
      <c r="F8" s="1">
        <v>45662</v>
      </c>
      <c r="G8">
        <v>30</v>
      </c>
      <c r="H8" t="s">
        <v>56</v>
      </c>
      <c r="I8" t="s">
        <v>30</v>
      </c>
      <c r="J8" t="s">
        <v>21</v>
      </c>
      <c r="K8" t="s">
        <v>40</v>
      </c>
      <c r="L8" s="15">
        <v>5950</v>
      </c>
      <c r="M8" t="s">
        <v>32</v>
      </c>
      <c r="P8" t="s">
        <v>57</v>
      </c>
      <c r="Q8" t="str">
        <f>_xlfn.XLOOKUP(angajati__2[[#This Row],[id_departament]],departamente!A:A,departamente!B:B)</f>
        <v>Marketing</v>
      </c>
      <c r="R8">
        <f t="shared" si="0"/>
        <v>49</v>
      </c>
      <c r="S8">
        <f t="shared" si="1"/>
        <v>1</v>
      </c>
      <c r="T8" t="str" cm="1">
        <f t="array" ref="T8">_xlfn.IFS(
    S8&lt;1, "&lt; 1 an",
    S8&lt;3, "1–3 ani",
    S8&lt;5, "3–5 ani",
    S8&gt;=5, "&gt; 5 ani"
)</f>
        <v>1–3 ani</v>
      </c>
      <c r="U8">
        <f t="shared" si="2"/>
        <v>0</v>
      </c>
    </row>
    <row r="9" spans="1:21" x14ac:dyDescent="0.3">
      <c r="A9">
        <v>1106</v>
      </c>
      <c r="B9" t="s">
        <v>58</v>
      </c>
      <c r="C9" t="s">
        <v>59</v>
      </c>
      <c r="D9" t="s">
        <v>18</v>
      </c>
      <c r="E9" s="1">
        <v>32723</v>
      </c>
      <c r="F9" s="1">
        <v>45296</v>
      </c>
      <c r="G9">
        <v>20</v>
      </c>
      <c r="H9" t="s">
        <v>60</v>
      </c>
      <c r="I9" t="s">
        <v>20</v>
      </c>
      <c r="J9" t="s">
        <v>21</v>
      </c>
      <c r="K9" t="s">
        <v>22</v>
      </c>
      <c r="L9" s="15">
        <v>11700</v>
      </c>
      <c r="M9" t="s">
        <v>23</v>
      </c>
      <c r="N9" s="1">
        <v>45811</v>
      </c>
      <c r="O9" t="s">
        <v>62</v>
      </c>
      <c r="P9" t="s">
        <v>63</v>
      </c>
      <c r="Q9" t="str">
        <f>_xlfn.XLOOKUP(angajati__2[[#This Row],[id_departament]],departamente!A:A,departamente!B:B)</f>
        <v>Vânzări</v>
      </c>
      <c r="R9">
        <f t="shared" si="0"/>
        <v>36</v>
      </c>
      <c r="S9">
        <f t="shared" si="1"/>
        <v>1.4</v>
      </c>
      <c r="T9" t="str" cm="1">
        <f t="array" ref="T9">_xlfn.IFS(
    S9&lt;1, "&lt; 1 an",
    S9&lt;3, "1–3 ani",
    S9&lt;5, "3–5 ani",
    S9&gt;=5, "&gt; 5 ani"
)</f>
        <v>1–3 ani</v>
      </c>
      <c r="U9">
        <f t="shared" si="2"/>
        <v>1</v>
      </c>
    </row>
    <row r="10" spans="1:21" x14ac:dyDescent="0.3">
      <c r="A10">
        <v>1082</v>
      </c>
      <c r="B10" t="s">
        <v>64</v>
      </c>
      <c r="C10" t="s">
        <v>65</v>
      </c>
      <c r="D10" t="s">
        <v>18</v>
      </c>
      <c r="E10" s="1">
        <v>29015</v>
      </c>
      <c r="F10" s="1">
        <v>43499</v>
      </c>
      <c r="G10">
        <v>70</v>
      </c>
      <c r="H10" t="s">
        <v>38</v>
      </c>
      <c r="I10" t="s">
        <v>39</v>
      </c>
      <c r="J10" t="s">
        <v>31</v>
      </c>
      <c r="K10" t="s">
        <v>22</v>
      </c>
      <c r="L10" s="15">
        <v>6300</v>
      </c>
      <c r="M10" t="s">
        <v>32</v>
      </c>
      <c r="P10" t="s">
        <v>66</v>
      </c>
      <c r="Q10" t="str">
        <f>_xlfn.XLOOKUP(angajati__2[[#This Row],[id_departament]],departamente!A:A,departamente!B:B)</f>
        <v>Operațiuni</v>
      </c>
      <c r="R10">
        <f t="shared" si="0"/>
        <v>46</v>
      </c>
      <c r="S10">
        <f t="shared" si="1"/>
        <v>6.9</v>
      </c>
      <c r="T10" t="str" cm="1">
        <f t="array" ref="T10">_xlfn.IFS(
    S10&lt;1, "&lt; 1 an",
    S10&lt;3, "1–3 ani",
    S10&lt;5, "3–5 ani",
    S10&gt;=5, "&gt; 5 ani"
)</f>
        <v>&gt; 5 ani</v>
      </c>
      <c r="U10">
        <f t="shared" si="2"/>
        <v>0</v>
      </c>
    </row>
    <row r="11" spans="1:21" x14ac:dyDescent="0.3">
      <c r="A11">
        <v>1282</v>
      </c>
      <c r="B11" t="s">
        <v>67</v>
      </c>
      <c r="C11" t="s">
        <v>65</v>
      </c>
      <c r="D11" t="s">
        <v>18</v>
      </c>
      <c r="E11" s="1">
        <v>32317</v>
      </c>
      <c r="F11" s="1">
        <v>45792</v>
      </c>
      <c r="G11">
        <v>20</v>
      </c>
      <c r="H11" t="s">
        <v>68</v>
      </c>
      <c r="I11" t="s">
        <v>30</v>
      </c>
      <c r="J11" t="s">
        <v>21</v>
      </c>
      <c r="K11" t="s">
        <v>22</v>
      </c>
      <c r="L11" s="15">
        <v>5650</v>
      </c>
      <c r="M11" t="s">
        <v>32</v>
      </c>
      <c r="P11" t="s">
        <v>69</v>
      </c>
      <c r="Q11" t="str">
        <f>_xlfn.XLOOKUP(angajati__2[[#This Row],[id_departament]],departamente!A:A,departamente!B:B)</f>
        <v>Vânzări</v>
      </c>
      <c r="R11">
        <f t="shared" si="0"/>
        <v>37</v>
      </c>
      <c r="S11">
        <f t="shared" si="1"/>
        <v>0.6</v>
      </c>
      <c r="T11" t="str" cm="1">
        <f t="array" ref="T11">_xlfn.IFS(
    S11&lt;1, "&lt; 1 an",
    S11&lt;3, "1–3 ani",
    S11&lt;5, "3–5 ani",
    S11&gt;=5, "&gt; 5 ani"
)</f>
        <v>&lt; 1 an</v>
      </c>
      <c r="U11">
        <f t="shared" si="2"/>
        <v>0</v>
      </c>
    </row>
    <row r="12" spans="1:21" x14ac:dyDescent="0.3">
      <c r="A12">
        <v>1189</v>
      </c>
      <c r="B12" t="s">
        <v>70</v>
      </c>
      <c r="C12" t="s">
        <v>43</v>
      </c>
      <c r="D12" t="s">
        <v>37</v>
      </c>
      <c r="E12" s="1">
        <v>32560</v>
      </c>
      <c r="F12" s="1">
        <v>43703</v>
      </c>
      <c r="G12">
        <v>50</v>
      </c>
      <c r="H12" t="s">
        <v>71</v>
      </c>
      <c r="I12" t="s">
        <v>39</v>
      </c>
      <c r="J12" t="s">
        <v>21</v>
      </c>
      <c r="K12" t="s">
        <v>22</v>
      </c>
      <c r="L12" s="15">
        <v>10200</v>
      </c>
      <c r="M12" t="s">
        <v>32</v>
      </c>
      <c r="P12" t="s">
        <v>72</v>
      </c>
      <c r="Q12" t="str">
        <f>_xlfn.XLOOKUP(angajati__2[[#This Row],[id_departament]],departamente!A:A,departamente!B:B)</f>
        <v>Financiar</v>
      </c>
      <c r="R12">
        <f t="shared" si="0"/>
        <v>36</v>
      </c>
      <c r="S12">
        <f t="shared" si="1"/>
        <v>6.3</v>
      </c>
      <c r="T12" t="str" cm="1">
        <f t="array" ref="T12">_xlfn.IFS(
    S12&lt;1, "&lt; 1 an",
    S12&lt;3, "1–3 ani",
    S12&lt;5, "3–5 ani",
    S12&gt;=5, "&gt; 5 ani"
)</f>
        <v>&gt; 5 ani</v>
      </c>
      <c r="U12">
        <f t="shared" si="2"/>
        <v>0</v>
      </c>
    </row>
    <row r="13" spans="1:21" x14ac:dyDescent="0.3">
      <c r="A13">
        <v>1225</v>
      </c>
      <c r="B13" t="s">
        <v>73</v>
      </c>
      <c r="C13" t="s">
        <v>74</v>
      </c>
      <c r="D13" t="s">
        <v>18</v>
      </c>
      <c r="E13" s="1">
        <v>32621</v>
      </c>
      <c r="F13" s="1">
        <v>43376</v>
      </c>
      <c r="G13">
        <v>70</v>
      </c>
      <c r="H13" t="s">
        <v>75</v>
      </c>
      <c r="I13" t="s">
        <v>20</v>
      </c>
      <c r="J13" t="s">
        <v>31</v>
      </c>
      <c r="K13" t="s">
        <v>22</v>
      </c>
      <c r="L13" s="15">
        <v>9550</v>
      </c>
      <c r="M13" t="s">
        <v>32</v>
      </c>
      <c r="P13" t="s">
        <v>76</v>
      </c>
      <c r="Q13" t="str">
        <f>_xlfn.XLOOKUP(angajati__2[[#This Row],[id_departament]],departamente!A:A,departamente!B:B)</f>
        <v>Operațiuni</v>
      </c>
      <c r="R13">
        <f t="shared" si="0"/>
        <v>36</v>
      </c>
      <c r="S13">
        <f t="shared" si="1"/>
        <v>7.2</v>
      </c>
      <c r="T13" t="str" cm="1">
        <f t="array" ref="T13">_xlfn.IFS(
    S13&lt;1, "&lt; 1 an",
    S13&lt;3, "1–3 ani",
    S13&lt;5, "3–5 ani",
    S13&gt;=5, "&gt; 5 ani"
)</f>
        <v>&gt; 5 ani</v>
      </c>
      <c r="U13">
        <f t="shared" si="2"/>
        <v>0</v>
      </c>
    </row>
    <row r="14" spans="1:21" x14ac:dyDescent="0.3">
      <c r="A14">
        <v>1133</v>
      </c>
      <c r="B14" t="s">
        <v>48</v>
      </c>
      <c r="C14" t="s">
        <v>65</v>
      </c>
      <c r="D14" t="s">
        <v>18</v>
      </c>
      <c r="E14" s="1">
        <v>34006</v>
      </c>
      <c r="F14" s="1">
        <v>43835</v>
      </c>
      <c r="G14">
        <v>60</v>
      </c>
      <c r="H14" t="s">
        <v>78</v>
      </c>
      <c r="I14" t="s">
        <v>45</v>
      </c>
      <c r="J14" t="s">
        <v>52</v>
      </c>
      <c r="K14" t="s">
        <v>22</v>
      </c>
      <c r="L14" s="15">
        <v>2750</v>
      </c>
      <c r="M14" t="s">
        <v>32</v>
      </c>
      <c r="P14" t="s">
        <v>79</v>
      </c>
      <c r="Q14" t="str">
        <f>_xlfn.XLOOKUP(angajati__2[[#This Row],[id_departament]],departamente!A:A,departamente!B:B)</f>
        <v>Suport Clienți</v>
      </c>
      <c r="R14">
        <f t="shared" si="0"/>
        <v>32</v>
      </c>
      <c r="S14">
        <f t="shared" si="1"/>
        <v>6</v>
      </c>
      <c r="T14" t="str" cm="1">
        <f t="array" ref="T14">_xlfn.IFS(
    S14&lt;1, "&lt; 1 an",
    S14&lt;3, "1–3 ani",
    S14&lt;5, "3–5 ani",
    S14&gt;=5, "&gt; 5 ani"
)</f>
        <v>&gt; 5 ani</v>
      </c>
      <c r="U14">
        <f t="shared" si="2"/>
        <v>0</v>
      </c>
    </row>
    <row r="15" spans="1:21" x14ac:dyDescent="0.3">
      <c r="A15">
        <v>1267</v>
      </c>
      <c r="B15" t="s">
        <v>80</v>
      </c>
      <c r="C15" t="s">
        <v>81</v>
      </c>
      <c r="D15" t="s">
        <v>37</v>
      </c>
      <c r="E15" s="1">
        <v>32646</v>
      </c>
      <c r="F15" s="1">
        <v>42689</v>
      </c>
      <c r="G15">
        <v>30</v>
      </c>
      <c r="H15" t="s">
        <v>56</v>
      </c>
      <c r="I15" t="s">
        <v>30</v>
      </c>
      <c r="J15" t="s">
        <v>46</v>
      </c>
      <c r="K15" t="s">
        <v>22</v>
      </c>
      <c r="L15" s="15">
        <v>6700</v>
      </c>
      <c r="M15" t="s">
        <v>32</v>
      </c>
      <c r="P15" t="s">
        <v>82</v>
      </c>
      <c r="Q15" t="str">
        <f>_xlfn.XLOOKUP(angajati__2[[#This Row],[id_departament]],departamente!A:A,departamente!B:B)</f>
        <v>Marketing</v>
      </c>
      <c r="R15">
        <f t="shared" si="0"/>
        <v>36</v>
      </c>
      <c r="S15">
        <f t="shared" si="1"/>
        <v>9.1</v>
      </c>
      <c r="T15" t="str" cm="1">
        <f t="array" ref="T15">_xlfn.IFS(
    S15&lt;1, "&lt; 1 an",
    S15&lt;3, "1–3 ani",
    S15&lt;5, "3–5 ani",
    S15&gt;=5, "&gt; 5 ani"
)</f>
        <v>&gt; 5 ani</v>
      </c>
      <c r="U15">
        <f t="shared" si="2"/>
        <v>0</v>
      </c>
    </row>
    <row r="16" spans="1:21" x14ac:dyDescent="0.3">
      <c r="A16">
        <v>1137</v>
      </c>
      <c r="B16" t="s">
        <v>35</v>
      </c>
      <c r="C16" t="s">
        <v>17</v>
      </c>
      <c r="D16" t="s">
        <v>18</v>
      </c>
      <c r="E16" s="1">
        <v>27309</v>
      </c>
      <c r="F16" s="1">
        <v>45771</v>
      </c>
      <c r="G16">
        <v>30</v>
      </c>
      <c r="H16" t="s">
        <v>56</v>
      </c>
      <c r="I16" t="s">
        <v>39</v>
      </c>
      <c r="J16" t="s">
        <v>21</v>
      </c>
      <c r="K16" t="s">
        <v>40</v>
      </c>
      <c r="L16" s="15">
        <v>8900</v>
      </c>
      <c r="M16" t="s">
        <v>32</v>
      </c>
      <c r="P16" t="s">
        <v>84</v>
      </c>
      <c r="Q16" t="str">
        <f>_xlfn.XLOOKUP(angajati__2[[#This Row],[id_departament]],departamente!A:A,departamente!B:B)</f>
        <v>Marketing</v>
      </c>
      <c r="R16">
        <f t="shared" si="0"/>
        <v>51</v>
      </c>
      <c r="S16">
        <f t="shared" si="1"/>
        <v>0.7</v>
      </c>
      <c r="T16" t="str" cm="1">
        <f t="array" ref="T16">_xlfn.IFS(
    S16&lt;1, "&lt; 1 an",
    S16&lt;3, "1–3 ani",
    S16&lt;5, "3–5 ani",
    S16&gt;=5, "&gt; 5 ani"
)</f>
        <v>&lt; 1 an</v>
      </c>
      <c r="U16">
        <f t="shared" si="2"/>
        <v>0</v>
      </c>
    </row>
    <row r="17" spans="1:21" x14ac:dyDescent="0.3">
      <c r="A17">
        <v>1365</v>
      </c>
      <c r="B17" t="s">
        <v>85</v>
      </c>
      <c r="C17" t="s">
        <v>36</v>
      </c>
      <c r="D17" t="s">
        <v>37</v>
      </c>
      <c r="E17" s="1">
        <v>32316</v>
      </c>
      <c r="F17" s="1">
        <v>45097</v>
      </c>
      <c r="G17">
        <v>70</v>
      </c>
      <c r="H17" t="s">
        <v>38</v>
      </c>
      <c r="I17" t="s">
        <v>45</v>
      </c>
      <c r="J17" t="s">
        <v>31</v>
      </c>
      <c r="K17" t="s">
        <v>22</v>
      </c>
      <c r="L17" s="15">
        <v>3200</v>
      </c>
      <c r="M17" t="s">
        <v>32</v>
      </c>
      <c r="P17" t="s">
        <v>86</v>
      </c>
      <c r="Q17" t="str">
        <f>_xlfn.XLOOKUP(angajati__2[[#This Row],[id_departament]],departamente!A:A,departamente!B:B)</f>
        <v>Operațiuni</v>
      </c>
      <c r="R17">
        <f t="shared" si="0"/>
        <v>37</v>
      </c>
      <c r="S17">
        <f t="shared" si="1"/>
        <v>2.5</v>
      </c>
      <c r="T17" t="str" cm="1">
        <f t="array" ref="T17">_xlfn.IFS(
    S17&lt;1, "&lt; 1 an",
    S17&lt;3, "1–3 ani",
    S17&lt;5, "3–5 ani",
    S17&gt;=5, "&gt; 5 ani"
)</f>
        <v>1–3 ani</v>
      </c>
      <c r="U17">
        <f t="shared" si="2"/>
        <v>0</v>
      </c>
    </row>
    <row r="18" spans="1:21" x14ac:dyDescent="0.3">
      <c r="A18">
        <v>1475</v>
      </c>
      <c r="B18" t="s">
        <v>48</v>
      </c>
      <c r="C18" t="s">
        <v>17</v>
      </c>
      <c r="D18" t="s">
        <v>18</v>
      </c>
      <c r="E18" s="1">
        <v>29213</v>
      </c>
      <c r="F18" s="1">
        <v>42724</v>
      </c>
      <c r="G18">
        <v>10</v>
      </c>
      <c r="H18" t="s">
        <v>87</v>
      </c>
      <c r="I18" t="s">
        <v>39</v>
      </c>
      <c r="J18" t="s">
        <v>21</v>
      </c>
      <c r="K18" t="s">
        <v>22</v>
      </c>
      <c r="L18" s="15">
        <v>12350</v>
      </c>
      <c r="M18" t="s">
        <v>32</v>
      </c>
      <c r="P18" t="s">
        <v>88</v>
      </c>
      <c r="Q18" t="str">
        <f>_xlfn.XLOOKUP(angajati__2[[#This Row],[id_departament]],departamente!A:A,departamente!B:B)</f>
        <v>IT</v>
      </c>
      <c r="R18">
        <f t="shared" si="0"/>
        <v>46</v>
      </c>
      <c r="S18">
        <f t="shared" si="1"/>
        <v>9</v>
      </c>
      <c r="T18" t="str" cm="1">
        <f t="array" ref="T18">_xlfn.IFS(
    S18&lt;1, "&lt; 1 an",
    S18&lt;3, "1–3 ani",
    S18&lt;5, "3–5 ani",
    S18&gt;=5, "&gt; 5 ani"
)</f>
        <v>&gt; 5 ani</v>
      </c>
      <c r="U18">
        <f t="shared" si="2"/>
        <v>0</v>
      </c>
    </row>
    <row r="19" spans="1:21" x14ac:dyDescent="0.3">
      <c r="A19">
        <v>1028</v>
      </c>
      <c r="B19" t="s">
        <v>89</v>
      </c>
      <c r="C19" t="s">
        <v>90</v>
      </c>
      <c r="D19" t="s">
        <v>18</v>
      </c>
      <c r="E19" s="1">
        <v>29943</v>
      </c>
      <c r="F19" s="1">
        <v>43945</v>
      </c>
      <c r="G19">
        <v>70</v>
      </c>
      <c r="H19" t="s">
        <v>38</v>
      </c>
      <c r="I19" t="s">
        <v>30</v>
      </c>
      <c r="J19" t="s">
        <v>31</v>
      </c>
      <c r="K19" t="s">
        <v>22</v>
      </c>
      <c r="L19" s="15">
        <v>4550</v>
      </c>
      <c r="M19" t="s">
        <v>32</v>
      </c>
      <c r="P19" t="s">
        <v>91</v>
      </c>
      <c r="Q19" t="str">
        <f>_xlfn.XLOOKUP(angajati__2[[#This Row],[id_departament]],departamente!A:A,departamente!B:B)</f>
        <v>Operațiuni</v>
      </c>
      <c r="R19">
        <f t="shared" si="0"/>
        <v>44</v>
      </c>
      <c r="S19">
        <f t="shared" si="1"/>
        <v>5.7</v>
      </c>
      <c r="T19" t="str" cm="1">
        <f t="array" ref="T19">_xlfn.IFS(
    S19&lt;1, "&lt; 1 an",
    S19&lt;3, "1–3 ani",
    S19&lt;5, "3–5 ani",
    S19&gt;=5, "&gt; 5 ani"
)</f>
        <v>&gt; 5 ani</v>
      </c>
      <c r="U19">
        <f t="shared" si="2"/>
        <v>0</v>
      </c>
    </row>
    <row r="20" spans="1:21" x14ac:dyDescent="0.3">
      <c r="A20">
        <v>1274</v>
      </c>
      <c r="B20" t="s">
        <v>92</v>
      </c>
      <c r="C20" t="s">
        <v>74</v>
      </c>
      <c r="D20" t="s">
        <v>18</v>
      </c>
      <c r="E20" s="1">
        <v>33086</v>
      </c>
      <c r="F20" s="1">
        <v>44939</v>
      </c>
      <c r="G20">
        <v>10</v>
      </c>
      <c r="H20" t="s">
        <v>87</v>
      </c>
      <c r="I20" t="s">
        <v>30</v>
      </c>
      <c r="J20" t="s">
        <v>21</v>
      </c>
      <c r="K20" t="s">
        <v>22</v>
      </c>
      <c r="L20" s="15">
        <v>9200</v>
      </c>
      <c r="M20" t="s">
        <v>32</v>
      </c>
      <c r="P20" t="s">
        <v>93</v>
      </c>
      <c r="Q20" t="str">
        <f>_xlfn.XLOOKUP(angajati__2[[#This Row],[id_departament]],departamente!A:A,departamente!B:B)</f>
        <v>IT</v>
      </c>
      <c r="R20">
        <f t="shared" si="0"/>
        <v>35</v>
      </c>
      <c r="S20">
        <f t="shared" si="1"/>
        <v>3</v>
      </c>
      <c r="T20" t="str" cm="1">
        <f t="array" ref="T20">_xlfn.IFS(
    S20&lt;1, "&lt; 1 an",
    S20&lt;3, "1–3 ani",
    S20&lt;5, "3–5 ani",
    S20&gt;=5, "&gt; 5 ani"
)</f>
        <v>3–5 ani</v>
      </c>
      <c r="U20">
        <f t="shared" si="2"/>
        <v>0</v>
      </c>
    </row>
    <row r="21" spans="1:21" x14ac:dyDescent="0.3">
      <c r="A21">
        <v>1333</v>
      </c>
      <c r="B21" t="s">
        <v>94</v>
      </c>
      <c r="C21" t="s">
        <v>103</v>
      </c>
      <c r="D21" t="s">
        <v>37</v>
      </c>
      <c r="E21" s="1">
        <v>34085</v>
      </c>
      <c r="F21" s="1">
        <v>44036</v>
      </c>
      <c r="G21">
        <v>60</v>
      </c>
      <c r="H21" t="s">
        <v>78</v>
      </c>
      <c r="I21" t="s">
        <v>30</v>
      </c>
      <c r="J21" t="s">
        <v>52</v>
      </c>
      <c r="K21" t="s">
        <v>22</v>
      </c>
      <c r="L21" s="15">
        <v>4300</v>
      </c>
      <c r="M21" t="s">
        <v>32</v>
      </c>
      <c r="P21" t="s">
        <v>97</v>
      </c>
      <c r="Q21" t="str">
        <f>_xlfn.XLOOKUP(angajati__2[[#This Row],[id_departament]],departamente!A:A,departamente!B:B)</f>
        <v>Suport Clienți</v>
      </c>
      <c r="R21">
        <f t="shared" si="0"/>
        <v>32</v>
      </c>
      <c r="S21">
        <f t="shared" si="1"/>
        <v>5.4</v>
      </c>
      <c r="T21" t="str" cm="1">
        <f t="array" ref="T21">_xlfn.IFS(
    S21&lt;1, "&lt; 1 an",
    S21&lt;3, "1–3 ani",
    S21&lt;5, "3–5 ani",
    S21&gt;=5, "&gt; 5 ani"
)</f>
        <v>&gt; 5 ani</v>
      </c>
      <c r="U21">
        <f t="shared" si="2"/>
        <v>0</v>
      </c>
    </row>
    <row r="22" spans="1:21" x14ac:dyDescent="0.3">
      <c r="A22">
        <v>1345</v>
      </c>
      <c r="B22" t="s">
        <v>73</v>
      </c>
      <c r="C22" t="s">
        <v>98</v>
      </c>
      <c r="D22" t="s">
        <v>37</v>
      </c>
      <c r="E22" s="1">
        <v>34151</v>
      </c>
      <c r="F22" s="1">
        <v>42900</v>
      </c>
      <c r="G22">
        <v>20</v>
      </c>
      <c r="H22" t="s">
        <v>68</v>
      </c>
      <c r="I22" t="s">
        <v>45</v>
      </c>
      <c r="J22" t="s">
        <v>21</v>
      </c>
      <c r="K22" t="s">
        <v>22</v>
      </c>
      <c r="L22" s="15">
        <v>4250</v>
      </c>
      <c r="M22" t="s">
        <v>32</v>
      </c>
      <c r="P22" t="s">
        <v>99</v>
      </c>
      <c r="Q22" t="str">
        <f>_xlfn.XLOOKUP(angajati__2[[#This Row],[id_departament]],departamente!A:A,departamente!B:B)</f>
        <v>Vânzări</v>
      </c>
      <c r="R22">
        <f t="shared" si="0"/>
        <v>32</v>
      </c>
      <c r="S22">
        <f t="shared" si="1"/>
        <v>8.5</v>
      </c>
      <c r="T22" t="str" cm="1">
        <f t="array" ref="T22">_xlfn.IFS(
    S22&lt;1, "&lt; 1 an",
    S22&lt;3, "1–3 ani",
    S22&lt;5, "3–5 ani",
    S22&gt;=5, "&gt; 5 ani"
)</f>
        <v>&gt; 5 ani</v>
      </c>
      <c r="U22">
        <f t="shared" si="2"/>
        <v>0</v>
      </c>
    </row>
    <row r="23" spans="1:21" x14ac:dyDescent="0.3">
      <c r="A23">
        <v>1191</v>
      </c>
      <c r="B23" t="s">
        <v>100</v>
      </c>
      <c r="C23" t="s">
        <v>17</v>
      </c>
      <c r="D23" t="s">
        <v>18</v>
      </c>
      <c r="E23" s="1">
        <v>27885</v>
      </c>
      <c r="F23" s="1">
        <v>45518</v>
      </c>
      <c r="G23">
        <v>40</v>
      </c>
      <c r="H23" t="s">
        <v>101</v>
      </c>
      <c r="I23" t="s">
        <v>30</v>
      </c>
      <c r="J23" t="s">
        <v>21</v>
      </c>
      <c r="K23" t="s">
        <v>22</v>
      </c>
      <c r="L23" s="15">
        <v>6100</v>
      </c>
      <c r="M23" t="s">
        <v>32</v>
      </c>
      <c r="P23" t="s">
        <v>102</v>
      </c>
      <c r="Q23" t="str">
        <f>_xlfn.XLOOKUP(angajati__2[[#This Row],[id_departament]],departamente!A:A,departamente!B:B)</f>
        <v>Resurse Umane</v>
      </c>
      <c r="R23">
        <f t="shared" si="0"/>
        <v>49</v>
      </c>
      <c r="S23">
        <f t="shared" si="1"/>
        <v>1.4</v>
      </c>
      <c r="T23" t="str" cm="1">
        <f t="array" ref="T23">_xlfn.IFS(
    S23&lt;1, "&lt; 1 an",
    S23&lt;3, "1–3 ani",
    S23&lt;5, "3–5 ani",
    S23&gt;=5, "&gt; 5 ani"
)</f>
        <v>1–3 ani</v>
      </c>
      <c r="U23">
        <f t="shared" si="2"/>
        <v>0</v>
      </c>
    </row>
    <row r="24" spans="1:21" x14ac:dyDescent="0.3">
      <c r="A24">
        <v>1322</v>
      </c>
      <c r="B24" t="s">
        <v>94</v>
      </c>
      <c r="C24" t="s">
        <v>103</v>
      </c>
      <c r="D24" t="s">
        <v>37</v>
      </c>
      <c r="E24" s="1">
        <v>30718</v>
      </c>
      <c r="F24" s="1">
        <v>42689</v>
      </c>
      <c r="G24">
        <v>20</v>
      </c>
      <c r="H24" t="s">
        <v>104</v>
      </c>
      <c r="I24" t="s">
        <v>30</v>
      </c>
      <c r="J24" t="s">
        <v>21</v>
      </c>
      <c r="K24" t="s">
        <v>22</v>
      </c>
      <c r="L24" s="15">
        <v>5700</v>
      </c>
      <c r="M24" t="s">
        <v>23</v>
      </c>
      <c r="N24" s="1">
        <v>44180</v>
      </c>
      <c r="O24" t="s">
        <v>105</v>
      </c>
      <c r="P24" t="s">
        <v>106</v>
      </c>
      <c r="Q24" t="str">
        <f>_xlfn.XLOOKUP(angajati__2[[#This Row],[id_departament]],departamente!A:A,departamente!B:B)</f>
        <v>Vânzări</v>
      </c>
      <c r="R24">
        <f t="shared" si="0"/>
        <v>41</v>
      </c>
      <c r="S24">
        <f t="shared" si="1"/>
        <v>4.0999999999999996</v>
      </c>
      <c r="T24" t="str" cm="1">
        <f t="array" ref="T24">_xlfn.IFS(
    S24&lt;1, "&lt; 1 an",
    S24&lt;3, "1–3 ani",
    S24&lt;5, "3–5 ani",
    S24&gt;=5, "&gt; 5 ani"
)</f>
        <v>3–5 ani</v>
      </c>
      <c r="U24">
        <f t="shared" si="2"/>
        <v>1</v>
      </c>
    </row>
    <row r="25" spans="1:21" x14ac:dyDescent="0.3">
      <c r="A25">
        <v>1403</v>
      </c>
      <c r="B25" t="s">
        <v>42</v>
      </c>
      <c r="C25" t="s">
        <v>107</v>
      </c>
      <c r="D25" t="s">
        <v>37</v>
      </c>
      <c r="E25" s="1">
        <v>27222</v>
      </c>
      <c r="F25" s="1">
        <v>43492</v>
      </c>
      <c r="G25">
        <v>10</v>
      </c>
      <c r="H25" t="s">
        <v>108</v>
      </c>
      <c r="I25" t="s">
        <v>39</v>
      </c>
      <c r="J25" t="s">
        <v>21</v>
      </c>
      <c r="K25" t="s">
        <v>22</v>
      </c>
      <c r="L25" s="15">
        <v>14650</v>
      </c>
      <c r="M25" t="s">
        <v>32</v>
      </c>
      <c r="P25" t="s">
        <v>109</v>
      </c>
      <c r="Q25" t="str">
        <f>_xlfn.XLOOKUP(angajati__2[[#This Row],[id_departament]],departamente!A:A,departamente!B:B)</f>
        <v>IT</v>
      </c>
      <c r="R25">
        <f t="shared" si="0"/>
        <v>51</v>
      </c>
      <c r="S25">
        <f t="shared" si="1"/>
        <v>6.9</v>
      </c>
      <c r="T25" t="str" cm="1">
        <f t="array" ref="T25">_xlfn.IFS(
    S25&lt;1, "&lt; 1 an",
    S25&lt;3, "1–3 ani",
    S25&lt;5, "3–5 ani",
    S25&gt;=5, "&gt; 5 ani"
)</f>
        <v>&gt; 5 ani</v>
      </c>
      <c r="U25">
        <f t="shared" si="2"/>
        <v>0</v>
      </c>
    </row>
    <row r="26" spans="1:21" x14ac:dyDescent="0.3">
      <c r="A26">
        <v>1058</v>
      </c>
      <c r="B26" t="s">
        <v>80</v>
      </c>
      <c r="C26" t="s">
        <v>110</v>
      </c>
      <c r="D26" t="s">
        <v>37</v>
      </c>
      <c r="E26" s="1">
        <v>28282</v>
      </c>
      <c r="F26" s="1">
        <v>43315</v>
      </c>
      <c r="G26">
        <v>70</v>
      </c>
      <c r="H26" t="s">
        <v>38</v>
      </c>
      <c r="I26" t="s">
        <v>39</v>
      </c>
      <c r="J26" t="s">
        <v>31</v>
      </c>
      <c r="K26" t="s">
        <v>22</v>
      </c>
      <c r="L26" s="15">
        <v>8150</v>
      </c>
      <c r="M26" t="s">
        <v>32</v>
      </c>
      <c r="P26" t="s">
        <v>111</v>
      </c>
      <c r="Q26" t="str">
        <f>_xlfn.XLOOKUP(angajati__2[[#This Row],[id_departament]],departamente!A:A,departamente!B:B)</f>
        <v>Operațiuni</v>
      </c>
      <c r="R26">
        <f t="shared" si="0"/>
        <v>48</v>
      </c>
      <c r="S26">
        <f t="shared" si="1"/>
        <v>7.4</v>
      </c>
      <c r="T26" t="str" cm="1">
        <f t="array" ref="T26">_xlfn.IFS(
    S26&lt;1, "&lt; 1 an",
    S26&lt;3, "1–3 ani",
    S26&lt;5, "3–5 ani",
    S26&gt;=5, "&gt; 5 ani"
)</f>
        <v>&gt; 5 ani</v>
      </c>
      <c r="U26">
        <f t="shared" si="2"/>
        <v>0</v>
      </c>
    </row>
    <row r="27" spans="1:21" x14ac:dyDescent="0.3">
      <c r="A27">
        <v>1300</v>
      </c>
      <c r="B27" t="s">
        <v>112</v>
      </c>
      <c r="C27" t="s">
        <v>113</v>
      </c>
      <c r="D27" t="s">
        <v>37</v>
      </c>
      <c r="E27" s="1">
        <v>36678</v>
      </c>
      <c r="F27" s="1">
        <v>44467</v>
      </c>
      <c r="G27">
        <v>30</v>
      </c>
      <c r="H27" t="s">
        <v>56</v>
      </c>
      <c r="I27" t="s">
        <v>45</v>
      </c>
      <c r="J27" t="s">
        <v>46</v>
      </c>
      <c r="K27" t="s">
        <v>22</v>
      </c>
      <c r="L27" s="15">
        <v>3400</v>
      </c>
      <c r="M27" t="s">
        <v>32</v>
      </c>
      <c r="P27" t="s">
        <v>114</v>
      </c>
      <c r="Q27" t="str">
        <f>_xlfn.XLOOKUP(angajati__2[[#This Row],[id_departament]],departamente!A:A,departamente!B:B)</f>
        <v>Marketing</v>
      </c>
      <c r="R27">
        <f t="shared" si="0"/>
        <v>25</v>
      </c>
      <c r="S27">
        <f t="shared" si="1"/>
        <v>4.3</v>
      </c>
      <c r="T27" t="str" cm="1">
        <f t="array" ref="T27">_xlfn.IFS(
    S27&lt;1, "&lt; 1 an",
    S27&lt;3, "1–3 ani",
    S27&lt;5, "3–5 ani",
    S27&gt;=5, "&gt; 5 ani"
)</f>
        <v>3–5 ani</v>
      </c>
      <c r="U27">
        <f t="shared" si="2"/>
        <v>0</v>
      </c>
    </row>
    <row r="28" spans="1:21" x14ac:dyDescent="0.3">
      <c r="A28">
        <v>1125</v>
      </c>
      <c r="B28" t="s">
        <v>115</v>
      </c>
      <c r="C28" t="s">
        <v>103</v>
      </c>
      <c r="D28" t="s">
        <v>37</v>
      </c>
      <c r="E28" s="1">
        <v>35131</v>
      </c>
      <c r="F28" s="1">
        <v>43222</v>
      </c>
      <c r="G28">
        <v>70</v>
      </c>
      <c r="H28" t="s">
        <v>116</v>
      </c>
      <c r="I28" t="s">
        <v>30</v>
      </c>
      <c r="J28" t="s">
        <v>31</v>
      </c>
      <c r="K28" t="s">
        <v>22</v>
      </c>
      <c r="L28" s="15">
        <v>5450</v>
      </c>
      <c r="M28" t="s">
        <v>23</v>
      </c>
      <c r="N28" s="1">
        <v>44578</v>
      </c>
      <c r="O28" t="s">
        <v>117</v>
      </c>
      <c r="P28" t="s">
        <v>118</v>
      </c>
      <c r="Q28" t="str">
        <f>_xlfn.XLOOKUP(angajati__2[[#This Row],[id_departament]],departamente!A:A,departamente!B:B)</f>
        <v>Operațiuni</v>
      </c>
      <c r="R28">
        <f t="shared" si="0"/>
        <v>29</v>
      </c>
      <c r="S28">
        <f t="shared" si="1"/>
        <v>3.7</v>
      </c>
      <c r="T28" t="str" cm="1">
        <f t="array" ref="T28">_xlfn.IFS(
    S28&lt;1, "&lt; 1 an",
    S28&lt;3, "1–3 ani",
    S28&lt;5, "3–5 ani",
    S28&gt;=5, "&gt; 5 ani"
)</f>
        <v>3–5 ani</v>
      </c>
      <c r="U28">
        <f t="shared" si="2"/>
        <v>1</v>
      </c>
    </row>
    <row r="29" spans="1:21" x14ac:dyDescent="0.3">
      <c r="A29">
        <v>1318</v>
      </c>
      <c r="B29" t="s">
        <v>70</v>
      </c>
      <c r="C29" t="s">
        <v>119</v>
      </c>
      <c r="D29" t="s">
        <v>18</v>
      </c>
      <c r="E29" s="1">
        <v>29751</v>
      </c>
      <c r="F29" s="1">
        <v>44298</v>
      </c>
      <c r="G29">
        <v>40</v>
      </c>
      <c r="H29" t="s">
        <v>120</v>
      </c>
      <c r="I29" t="s">
        <v>30</v>
      </c>
      <c r="J29" t="s">
        <v>21</v>
      </c>
      <c r="K29" t="s">
        <v>22</v>
      </c>
      <c r="L29" s="15">
        <v>5100</v>
      </c>
      <c r="M29" t="s">
        <v>32</v>
      </c>
      <c r="P29" t="s">
        <v>121</v>
      </c>
      <c r="Q29" t="str">
        <f>_xlfn.XLOOKUP(angajati__2[[#This Row],[id_departament]],departamente!A:A,departamente!B:B)</f>
        <v>Resurse Umane</v>
      </c>
      <c r="R29">
        <f t="shared" si="0"/>
        <v>44</v>
      </c>
      <c r="S29">
        <f t="shared" si="1"/>
        <v>4.7</v>
      </c>
      <c r="T29" t="str" cm="1">
        <f t="array" ref="T29">_xlfn.IFS(
    S29&lt;1, "&lt; 1 an",
    S29&lt;3, "1–3 ani",
    S29&lt;5, "3–5 ani",
    S29&gt;=5, "&gt; 5 ani"
)</f>
        <v>3–5 ani</v>
      </c>
      <c r="U29">
        <f t="shared" si="2"/>
        <v>0</v>
      </c>
    </row>
    <row r="30" spans="1:21" x14ac:dyDescent="0.3">
      <c r="A30">
        <v>1104</v>
      </c>
      <c r="B30" t="s">
        <v>122</v>
      </c>
      <c r="C30" t="s">
        <v>90</v>
      </c>
      <c r="D30" t="s">
        <v>18</v>
      </c>
      <c r="E30" s="1">
        <v>33047</v>
      </c>
      <c r="F30" s="1">
        <v>43639</v>
      </c>
      <c r="G30">
        <v>50</v>
      </c>
      <c r="H30" t="s">
        <v>123</v>
      </c>
      <c r="I30" t="s">
        <v>30</v>
      </c>
      <c r="J30" t="s">
        <v>21</v>
      </c>
      <c r="K30" t="s">
        <v>22</v>
      </c>
      <c r="L30" s="15">
        <v>6300</v>
      </c>
      <c r="M30" t="s">
        <v>32</v>
      </c>
      <c r="P30" t="s">
        <v>124</v>
      </c>
      <c r="Q30" t="str">
        <f>_xlfn.XLOOKUP(angajati__2[[#This Row],[id_departament]],departamente!A:A,departamente!B:B)</f>
        <v>Financiar</v>
      </c>
      <c r="R30">
        <f t="shared" si="0"/>
        <v>35</v>
      </c>
      <c r="S30">
        <f t="shared" si="1"/>
        <v>6.5</v>
      </c>
      <c r="T30" t="str" cm="1">
        <f t="array" ref="T30">_xlfn.IFS(
    S30&lt;1, "&lt; 1 an",
    S30&lt;3, "1–3 ani",
    S30&lt;5, "3–5 ani",
    S30&gt;=5, "&gt; 5 ani"
)</f>
        <v>&gt; 5 ani</v>
      </c>
      <c r="U30">
        <f t="shared" si="2"/>
        <v>0</v>
      </c>
    </row>
    <row r="31" spans="1:21" x14ac:dyDescent="0.3">
      <c r="A31">
        <v>1156</v>
      </c>
      <c r="B31" t="s">
        <v>125</v>
      </c>
      <c r="C31" t="s">
        <v>126</v>
      </c>
      <c r="D31" t="s">
        <v>37</v>
      </c>
      <c r="E31" s="1">
        <v>35232</v>
      </c>
      <c r="F31" s="1">
        <v>44888</v>
      </c>
      <c r="G31">
        <v>20</v>
      </c>
      <c r="H31" t="s">
        <v>104</v>
      </c>
      <c r="I31" t="s">
        <v>45</v>
      </c>
      <c r="J31" t="s">
        <v>52</v>
      </c>
      <c r="K31" t="s">
        <v>22</v>
      </c>
      <c r="L31" s="15">
        <v>3450</v>
      </c>
      <c r="M31" t="s">
        <v>32</v>
      </c>
      <c r="P31" t="s">
        <v>127</v>
      </c>
      <c r="Q31" t="str">
        <f>_xlfn.XLOOKUP(angajati__2[[#This Row],[id_departament]],departamente!A:A,departamente!B:B)</f>
        <v>Vânzări</v>
      </c>
      <c r="R31">
        <f t="shared" si="0"/>
        <v>29</v>
      </c>
      <c r="S31">
        <f t="shared" si="1"/>
        <v>3.1</v>
      </c>
      <c r="T31" t="str" cm="1">
        <f t="array" ref="T31">_xlfn.IFS(
    S31&lt;1, "&lt; 1 an",
    S31&lt;3, "1–3 ani",
    S31&lt;5, "3–5 ani",
    S31&gt;=5, "&gt; 5 ani"
)</f>
        <v>3–5 ani</v>
      </c>
      <c r="U31">
        <f t="shared" si="2"/>
        <v>0</v>
      </c>
    </row>
    <row r="32" spans="1:21" x14ac:dyDescent="0.3">
      <c r="A32">
        <v>1261</v>
      </c>
      <c r="B32" t="s">
        <v>122</v>
      </c>
      <c r="C32" t="s">
        <v>128</v>
      </c>
      <c r="D32" t="s">
        <v>18</v>
      </c>
      <c r="E32" s="1">
        <v>30567</v>
      </c>
      <c r="F32" s="1">
        <v>44459</v>
      </c>
      <c r="G32">
        <v>60</v>
      </c>
      <c r="H32" t="s">
        <v>78</v>
      </c>
      <c r="I32" t="s">
        <v>45</v>
      </c>
      <c r="J32" t="s">
        <v>52</v>
      </c>
      <c r="K32" t="s">
        <v>22</v>
      </c>
      <c r="L32" s="15">
        <v>2800</v>
      </c>
      <c r="M32" t="s">
        <v>32</v>
      </c>
      <c r="P32" t="s">
        <v>129</v>
      </c>
      <c r="Q32" t="str">
        <f>_xlfn.XLOOKUP(angajati__2[[#This Row],[id_departament]],departamente!A:A,departamente!B:B)</f>
        <v>Suport Clienți</v>
      </c>
      <c r="R32">
        <f t="shared" si="0"/>
        <v>42</v>
      </c>
      <c r="S32">
        <f t="shared" si="1"/>
        <v>4.3</v>
      </c>
      <c r="T32" t="str" cm="1">
        <f t="array" ref="T32">_xlfn.IFS(
    S32&lt;1, "&lt; 1 an",
    S32&lt;3, "1–3 ani",
    S32&lt;5, "3–5 ani",
    S32&gt;=5, "&gt; 5 ani"
)</f>
        <v>3–5 ani</v>
      </c>
      <c r="U32">
        <f t="shared" si="2"/>
        <v>0</v>
      </c>
    </row>
    <row r="33" spans="1:21" x14ac:dyDescent="0.3">
      <c r="A33">
        <v>1379</v>
      </c>
      <c r="B33" t="s">
        <v>42</v>
      </c>
      <c r="C33" t="s">
        <v>43</v>
      </c>
      <c r="D33" t="s">
        <v>37</v>
      </c>
      <c r="E33" s="1">
        <v>31800</v>
      </c>
      <c r="F33" s="1">
        <v>42764</v>
      </c>
      <c r="G33">
        <v>10</v>
      </c>
      <c r="H33" t="s">
        <v>87</v>
      </c>
      <c r="I33" t="s">
        <v>45</v>
      </c>
      <c r="J33" t="s">
        <v>21</v>
      </c>
      <c r="K33" t="s">
        <v>22</v>
      </c>
      <c r="L33" s="15">
        <v>5750</v>
      </c>
      <c r="M33" t="s">
        <v>32</v>
      </c>
      <c r="P33" t="s">
        <v>130</v>
      </c>
      <c r="Q33" t="str">
        <f>_xlfn.XLOOKUP(angajati__2[[#This Row],[id_departament]],departamente!A:A,departamente!B:B)</f>
        <v>IT</v>
      </c>
      <c r="R33">
        <f t="shared" si="0"/>
        <v>38</v>
      </c>
      <c r="S33">
        <f t="shared" si="1"/>
        <v>8.9</v>
      </c>
      <c r="T33" t="str" cm="1">
        <f t="array" ref="T33">_xlfn.IFS(
    S33&lt;1, "&lt; 1 an",
    S33&lt;3, "1–3 ani",
    S33&lt;5, "3–5 ani",
    S33&gt;=5, "&gt; 5 ani"
)</f>
        <v>&gt; 5 ani</v>
      </c>
      <c r="U33">
        <f t="shared" si="2"/>
        <v>0</v>
      </c>
    </row>
    <row r="34" spans="1:21" x14ac:dyDescent="0.3">
      <c r="A34">
        <v>1160</v>
      </c>
      <c r="B34" t="s">
        <v>26</v>
      </c>
      <c r="C34" t="s">
        <v>131</v>
      </c>
      <c r="D34" t="s">
        <v>18</v>
      </c>
      <c r="E34" s="1">
        <v>29909</v>
      </c>
      <c r="F34" s="1">
        <v>44968</v>
      </c>
      <c r="G34">
        <v>70</v>
      </c>
      <c r="H34" t="s">
        <v>38</v>
      </c>
      <c r="I34" t="s">
        <v>45</v>
      </c>
      <c r="J34" t="s">
        <v>31</v>
      </c>
      <c r="K34" t="s">
        <v>40</v>
      </c>
      <c r="L34" s="15">
        <v>3100</v>
      </c>
      <c r="M34" t="s">
        <v>32</v>
      </c>
      <c r="P34" t="s">
        <v>133</v>
      </c>
      <c r="Q34" t="str">
        <f>_xlfn.XLOOKUP(angajati__2[[#This Row],[id_departament]],departamente!A:A,departamente!B:B)</f>
        <v>Operațiuni</v>
      </c>
      <c r="R34">
        <f t="shared" si="0"/>
        <v>44</v>
      </c>
      <c r="S34">
        <f t="shared" si="1"/>
        <v>2.9</v>
      </c>
      <c r="T34" t="str" cm="1">
        <f t="array" ref="T34">_xlfn.IFS(
    S34&lt;1, "&lt; 1 an",
    S34&lt;3, "1–3 ani",
    S34&lt;5, "3–5 ani",
    S34&gt;=5, "&gt; 5 ani"
)</f>
        <v>1–3 ani</v>
      </c>
      <c r="U34">
        <f t="shared" si="2"/>
        <v>0</v>
      </c>
    </row>
    <row r="35" spans="1:21" x14ac:dyDescent="0.3">
      <c r="A35">
        <v>1226</v>
      </c>
      <c r="B35" t="s">
        <v>134</v>
      </c>
      <c r="C35" t="s">
        <v>27</v>
      </c>
      <c r="D35" t="s">
        <v>37</v>
      </c>
      <c r="E35" s="1">
        <v>34918</v>
      </c>
      <c r="F35" s="1">
        <v>42783</v>
      </c>
      <c r="G35">
        <v>10</v>
      </c>
      <c r="H35" t="s">
        <v>44</v>
      </c>
      <c r="I35" t="s">
        <v>45</v>
      </c>
      <c r="J35" t="s">
        <v>46</v>
      </c>
      <c r="K35" t="s">
        <v>22</v>
      </c>
      <c r="L35" s="15">
        <v>5200</v>
      </c>
      <c r="M35" t="s">
        <v>32</v>
      </c>
      <c r="P35" t="s">
        <v>135</v>
      </c>
      <c r="Q35" t="str">
        <f>_xlfn.XLOOKUP(angajati__2[[#This Row],[id_departament]],departamente!A:A,departamente!B:B)</f>
        <v>IT</v>
      </c>
      <c r="R35">
        <f t="shared" si="0"/>
        <v>30</v>
      </c>
      <c r="S35">
        <f t="shared" si="1"/>
        <v>8.9</v>
      </c>
      <c r="T35" t="str" cm="1">
        <f t="array" ref="T35">_xlfn.IFS(
    S35&lt;1, "&lt; 1 an",
    S35&lt;3, "1–3 ani",
    S35&lt;5, "3–5 ani",
    S35&gt;=5, "&gt; 5 ani"
)</f>
        <v>&gt; 5 ani</v>
      </c>
      <c r="U35">
        <f t="shared" si="2"/>
        <v>0</v>
      </c>
    </row>
    <row r="36" spans="1:21" x14ac:dyDescent="0.3">
      <c r="A36">
        <v>1464</v>
      </c>
      <c r="B36" t="s">
        <v>136</v>
      </c>
      <c r="C36" t="s">
        <v>113</v>
      </c>
      <c r="D36" t="s">
        <v>37</v>
      </c>
      <c r="E36" s="1">
        <v>33576</v>
      </c>
      <c r="F36" s="1">
        <v>43071</v>
      </c>
      <c r="G36">
        <v>10</v>
      </c>
      <c r="H36" t="s">
        <v>87</v>
      </c>
      <c r="I36" t="s">
        <v>39</v>
      </c>
      <c r="J36" t="s">
        <v>21</v>
      </c>
      <c r="K36" t="s">
        <v>22</v>
      </c>
      <c r="L36" s="15">
        <v>12350</v>
      </c>
      <c r="M36" t="s">
        <v>32</v>
      </c>
      <c r="P36" t="s">
        <v>137</v>
      </c>
      <c r="Q36" t="str">
        <f>_xlfn.XLOOKUP(angajati__2[[#This Row],[id_departament]],departamente!A:A,departamente!B:B)</f>
        <v>IT</v>
      </c>
      <c r="R36">
        <f t="shared" si="0"/>
        <v>34</v>
      </c>
      <c r="S36">
        <f t="shared" si="1"/>
        <v>8.1</v>
      </c>
      <c r="T36" t="str" cm="1">
        <f t="array" ref="T36">_xlfn.IFS(
    S36&lt;1, "&lt; 1 an",
    S36&lt;3, "1–3 ani",
    S36&lt;5, "3–5 ani",
    S36&gt;=5, "&gt; 5 ani"
)</f>
        <v>&gt; 5 ani</v>
      </c>
      <c r="U36">
        <f t="shared" si="2"/>
        <v>0</v>
      </c>
    </row>
    <row r="37" spans="1:21" x14ac:dyDescent="0.3">
      <c r="A37">
        <v>1389</v>
      </c>
      <c r="B37" t="s">
        <v>112</v>
      </c>
      <c r="C37" t="s">
        <v>126</v>
      </c>
      <c r="D37" t="s">
        <v>37</v>
      </c>
      <c r="E37" s="1">
        <v>34852</v>
      </c>
      <c r="F37" s="1">
        <v>42928</v>
      </c>
      <c r="G37">
        <v>60</v>
      </c>
      <c r="H37" t="s">
        <v>78</v>
      </c>
      <c r="I37" t="s">
        <v>30</v>
      </c>
      <c r="J37" t="s">
        <v>52</v>
      </c>
      <c r="K37" t="s">
        <v>22</v>
      </c>
      <c r="L37" s="15">
        <v>3900</v>
      </c>
      <c r="M37" t="s">
        <v>32</v>
      </c>
      <c r="P37" t="s">
        <v>139</v>
      </c>
      <c r="Q37" t="str">
        <f>_xlfn.XLOOKUP(angajati__2[[#This Row],[id_departament]],departamente!A:A,departamente!B:B)</f>
        <v>Suport Clienți</v>
      </c>
      <c r="R37">
        <f t="shared" si="0"/>
        <v>30</v>
      </c>
      <c r="S37">
        <f t="shared" si="1"/>
        <v>8.5</v>
      </c>
      <c r="T37" t="str" cm="1">
        <f t="array" ref="T37">_xlfn.IFS(
    S37&lt;1, "&lt; 1 an",
    S37&lt;3, "1–3 ani",
    S37&lt;5, "3–5 ani",
    S37&gt;=5, "&gt; 5 ani"
)</f>
        <v>&gt; 5 ani</v>
      </c>
      <c r="U37">
        <f t="shared" si="2"/>
        <v>0</v>
      </c>
    </row>
    <row r="38" spans="1:21" x14ac:dyDescent="0.3">
      <c r="A38">
        <v>1339</v>
      </c>
      <c r="B38" t="s">
        <v>26</v>
      </c>
      <c r="C38" t="s">
        <v>140</v>
      </c>
      <c r="D38" t="s">
        <v>37</v>
      </c>
      <c r="E38" s="1">
        <v>31256</v>
      </c>
      <c r="F38" s="1">
        <v>43593</v>
      </c>
      <c r="G38">
        <v>60</v>
      </c>
      <c r="H38" t="s">
        <v>78</v>
      </c>
      <c r="I38" t="s">
        <v>30</v>
      </c>
      <c r="J38" t="s">
        <v>52</v>
      </c>
      <c r="K38" t="s">
        <v>22</v>
      </c>
      <c r="L38" s="15">
        <v>4250</v>
      </c>
      <c r="M38" t="s">
        <v>32</v>
      </c>
      <c r="P38" t="s">
        <v>141</v>
      </c>
      <c r="Q38" t="str">
        <f>_xlfn.XLOOKUP(angajati__2[[#This Row],[id_departament]],departamente!A:A,departamente!B:B)</f>
        <v>Suport Clienți</v>
      </c>
      <c r="R38">
        <f t="shared" si="0"/>
        <v>40</v>
      </c>
      <c r="S38">
        <f t="shared" si="1"/>
        <v>6.6</v>
      </c>
      <c r="T38" t="str" cm="1">
        <f t="array" ref="T38">_xlfn.IFS(
    S38&lt;1, "&lt; 1 an",
    S38&lt;3, "1–3 ani",
    S38&lt;5, "3–5 ani",
    S38&gt;=5, "&gt; 5 ani"
)</f>
        <v>&gt; 5 ani</v>
      </c>
      <c r="U38">
        <f t="shared" si="2"/>
        <v>0</v>
      </c>
    </row>
    <row r="39" spans="1:21" x14ac:dyDescent="0.3">
      <c r="A39">
        <v>1229</v>
      </c>
      <c r="B39" t="s">
        <v>48</v>
      </c>
      <c r="C39" t="s">
        <v>81</v>
      </c>
      <c r="D39" t="s">
        <v>37</v>
      </c>
      <c r="E39" s="1">
        <v>27503</v>
      </c>
      <c r="F39" s="1">
        <v>43908</v>
      </c>
      <c r="G39">
        <v>50</v>
      </c>
      <c r="H39" t="s">
        <v>142</v>
      </c>
      <c r="I39" t="s">
        <v>20</v>
      </c>
      <c r="J39" t="s">
        <v>31</v>
      </c>
      <c r="K39" t="s">
        <v>22</v>
      </c>
      <c r="L39" s="15">
        <v>14050</v>
      </c>
      <c r="M39" t="s">
        <v>32</v>
      </c>
      <c r="P39" t="s">
        <v>143</v>
      </c>
      <c r="Q39" t="str">
        <f>_xlfn.XLOOKUP(angajati__2[[#This Row],[id_departament]],departamente!A:A,departamente!B:B)</f>
        <v>Financiar</v>
      </c>
      <c r="R39">
        <f t="shared" si="0"/>
        <v>50</v>
      </c>
      <c r="S39">
        <f t="shared" si="1"/>
        <v>5.8</v>
      </c>
      <c r="T39" t="str" cm="1">
        <f t="array" ref="T39">_xlfn.IFS(
    S39&lt;1, "&lt; 1 an",
    S39&lt;3, "1–3 ani",
    S39&lt;5, "3–5 ani",
    S39&gt;=5, "&gt; 5 ani"
)</f>
        <v>&gt; 5 ani</v>
      </c>
      <c r="U39">
        <f t="shared" si="2"/>
        <v>0</v>
      </c>
    </row>
    <row r="40" spans="1:21" x14ac:dyDescent="0.3">
      <c r="A40">
        <v>1088</v>
      </c>
      <c r="B40" t="s">
        <v>89</v>
      </c>
      <c r="C40" t="s">
        <v>144</v>
      </c>
      <c r="D40" t="s">
        <v>37</v>
      </c>
      <c r="E40" s="1">
        <v>31743</v>
      </c>
      <c r="F40" s="1">
        <v>45600</v>
      </c>
      <c r="G40">
        <v>20</v>
      </c>
      <c r="H40" t="s">
        <v>60</v>
      </c>
      <c r="I40" t="s">
        <v>20</v>
      </c>
      <c r="J40" t="s">
        <v>52</v>
      </c>
      <c r="K40" t="s">
        <v>22</v>
      </c>
      <c r="L40" s="15">
        <v>9150</v>
      </c>
      <c r="M40" t="s">
        <v>32</v>
      </c>
      <c r="P40" t="s">
        <v>145</v>
      </c>
      <c r="Q40" t="str">
        <f>_xlfn.XLOOKUP(angajati__2[[#This Row],[id_departament]],departamente!A:A,departamente!B:B)</f>
        <v>Vânzări</v>
      </c>
      <c r="R40">
        <f t="shared" si="0"/>
        <v>39</v>
      </c>
      <c r="S40">
        <f t="shared" si="1"/>
        <v>1.2</v>
      </c>
      <c r="T40" t="str" cm="1">
        <f t="array" ref="T40">_xlfn.IFS(
    S40&lt;1, "&lt; 1 an",
    S40&lt;3, "1–3 ani",
    S40&lt;5, "3–5 ani",
    S40&gt;=5, "&gt; 5 ani"
)</f>
        <v>1–3 ani</v>
      </c>
      <c r="U40">
        <f t="shared" si="2"/>
        <v>0</v>
      </c>
    </row>
    <row r="41" spans="1:21" x14ac:dyDescent="0.3">
      <c r="A41">
        <v>1117</v>
      </c>
      <c r="B41" t="s">
        <v>112</v>
      </c>
      <c r="C41" t="s">
        <v>65</v>
      </c>
      <c r="D41" t="s">
        <v>18</v>
      </c>
      <c r="E41" s="1">
        <v>34161</v>
      </c>
      <c r="F41" s="1">
        <v>42594</v>
      </c>
      <c r="G41">
        <v>10</v>
      </c>
      <c r="H41" t="s">
        <v>44</v>
      </c>
      <c r="I41" t="s">
        <v>45</v>
      </c>
      <c r="J41" t="s">
        <v>21</v>
      </c>
      <c r="K41" t="s">
        <v>22</v>
      </c>
      <c r="L41" s="15">
        <v>6500</v>
      </c>
      <c r="M41" t="s">
        <v>32</v>
      </c>
      <c r="P41" t="s">
        <v>146</v>
      </c>
      <c r="Q41" t="str">
        <f>_xlfn.XLOOKUP(angajati__2[[#This Row],[id_departament]],departamente!A:A,departamente!B:B)</f>
        <v>IT</v>
      </c>
      <c r="R41">
        <f t="shared" si="0"/>
        <v>32</v>
      </c>
      <c r="S41">
        <f t="shared" si="1"/>
        <v>9.4</v>
      </c>
      <c r="T41" t="str" cm="1">
        <f t="array" ref="T41">_xlfn.IFS(
    S41&lt;1, "&lt; 1 an",
    S41&lt;3, "1–3 ani",
    S41&lt;5, "3–5 ani",
    S41&gt;=5, "&gt; 5 ani"
)</f>
        <v>&gt; 5 ani</v>
      </c>
      <c r="U41">
        <f t="shared" si="2"/>
        <v>0</v>
      </c>
    </row>
    <row r="42" spans="1:21" x14ac:dyDescent="0.3">
      <c r="A42">
        <v>1463</v>
      </c>
      <c r="B42" t="s">
        <v>147</v>
      </c>
      <c r="C42" t="s">
        <v>65</v>
      </c>
      <c r="D42" t="s">
        <v>18</v>
      </c>
      <c r="E42" s="1">
        <v>30359</v>
      </c>
      <c r="F42" s="1">
        <v>44724</v>
      </c>
      <c r="G42">
        <v>10</v>
      </c>
      <c r="H42" t="s">
        <v>108</v>
      </c>
      <c r="I42" t="s">
        <v>39</v>
      </c>
      <c r="J42" t="s">
        <v>21</v>
      </c>
      <c r="K42" t="s">
        <v>22</v>
      </c>
      <c r="L42" s="15">
        <v>12200</v>
      </c>
      <c r="M42" t="s">
        <v>32</v>
      </c>
      <c r="P42" t="s">
        <v>149</v>
      </c>
      <c r="Q42" t="str">
        <f>_xlfn.XLOOKUP(angajati__2[[#This Row],[id_departament]],departamente!A:A,departamente!B:B)</f>
        <v>IT</v>
      </c>
      <c r="R42">
        <f t="shared" si="0"/>
        <v>42</v>
      </c>
      <c r="S42">
        <f t="shared" si="1"/>
        <v>3.6</v>
      </c>
      <c r="T42" t="str" cm="1">
        <f t="array" ref="T42">_xlfn.IFS(
    S42&lt;1, "&lt; 1 an",
    S42&lt;3, "1–3 ani",
    S42&lt;5, "3–5 ani",
    S42&gt;=5, "&gt; 5 ani"
)</f>
        <v>3–5 ani</v>
      </c>
      <c r="U42">
        <f t="shared" si="2"/>
        <v>0</v>
      </c>
    </row>
    <row r="43" spans="1:21" x14ac:dyDescent="0.3">
      <c r="A43">
        <v>1408</v>
      </c>
      <c r="B43" t="s">
        <v>150</v>
      </c>
      <c r="C43" t="s">
        <v>107</v>
      </c>
      <c r="D43" t="s">
        <v>37</v>
      </c>
      <c r="E43" s="1">
        <v>35025</v>
      </c>
      <c r="F43" s="1">
        <v>44547</v>
      </c>
      <c r="G43">
        <v>50</v>
      </c>
      <c r="H43" t="s">
        <v>71</v>
      </c>
      <c r="I43" t="s">
        <v>45</v>
      </c>
      <c r="J43" t="s">
        <v>21</v>
      </c>
      <c r="K43" t="s">
        <v>22</v>
      </c>
      <c r="L43" s="15">
        <v>4750</v>
      </c>
      <c r="M43" t="s">
        <v>23</v>
      </c>
      <c r="N43" s="1">
        <v>44900</v>
      </c>
      <c r="O43" t="s">
        <v>152</v>
      </c>
      <c r="P43" t="s">
        <v>153</v>
      </c>
      <c r="Q43" t="str">
        <f>_xlfn.XLOOKUP(angajati__2[[#This Row],[id_departament]],departamente!A:A,departamente!B:B)</f>
        <v>Financiar</v>
      </c>
      <c r="R43">
        <f t="shared" si="0"/>
        <v>30</v>
      </c>
      <c r="S43">
        <f t="shared" si="1"/>
        <v>1</v>
      </c>
      <c r="T43" t="str" cm="1">
        <f t="array" ref="T43">_xlfn.IFS(
    S43&lt;1, "&lt; 1 an",
    S43&lt;3, "1–3 ani",
    S43&lt;5, "3–5 ani",
    S43&gt;=5, "&gt; 5 ani"
)</f>
        <v>1–3 ani</v>
      </c>
      <c r="U43">
        <f t="shared" si="2"/>
        <v>1</v>
      </c>
    </row>
    <row r="44" spans="1:21" x14ac:dyDescent="0.3">
      <c r="A44">
        <v>1394</v>
      </c>
      <c r="B44" t="s">
        <v>112</v>
      </c>
      <c r="C44" t="s">
        <v>131</v>
      </c>
      <c r="D44" t="s">
        <v>18</v>
      </c>
      <c r="E44" s="1">
        <v>32625</v>
      </c>
      <c r="F44" s="1">
        <v>44159</v>
      </c>
      <c r="G44">
        <v>20</v>
      </c>
      <c r="H44" t="s">
        <v>104</v>
      </c>
      <c r="I44" t="s">
        <v>39</v>
      </c>
      <c r="J44" t="s">
        <v>21</v>
      </c>
      <c r="K44" t="s">
        <v>22</v>
      </c>
      <c r="L44" s="15">
        <v>8300</v>
      </c>
      <c r="M44" t="s">
        <v>32</v>
      </c>
      <c r="P44" t="s">
        <v>154</v>
      </c>
      <c r="Q44" t="str">
        <f>_xlfn.XLOOKUP(angajati__2[[#This Row],[id_departament]],departamente!A:A,departamente!B:B)</f>
        <v>Vânzări</v>
      </c>
      <c r="R44">
        <f t="shared" si="0"/>
        <v>36</v>
      </c>
      <c r="S44">
        <f t="shared" si="1"/>
        <v>5.0999999999999996</v>
      </c>
      <c r="T44" t="str" cm="1">
        <f t="array" ref="T44">_xlfn.IFS(
    S44&lt;1, "&lt; 1 an",
    S44&lt;3, "1–3 ani",
    S44&lt;5, "3–5 ani",
    S44&gt;=5, "&gt; 5 ani"
)</f>
        <v>&gt; 5 ani</v>
      </c>
      <c r="U44">
        <f t="shared" si="2"/>
        <v>0</v>
      </c>
    </row>
    <row r="45" spans="1:21" x14ac:dyDescent="0.3">
      <c r="A45">
        <v>1154</v>
      </c>
      <c r="B45" t="s">
        <v>54</v>
      </c>
      <c r="C45" t="s">
        <v>155</v>
      </c>
      <c r="D45" t="s">
        <v>37</v>
      </c>
      <c r="E45" s="1">
        <v>34869</v>
      </c>
      <c r="F45" s="1">
        <v>42920</v>
      </c>
      <c r="G45">
        <v>70</v>
      </c>
      <c r="H45" t="s">
        <v>38</v>
      </c>
      <c r="I45" t="s">
        <v>30</v>
      </c>
      <c r="J45" t="s">
        <v>31</v>
      </c>
      <c r="K45" t="s">
        <v>22</v>
      </c>
      <c r="L45" s="15">
        <v>5950</v>
      </c>
      <c r="M45" t="s">
        <v>32</v>
      </c>
      <c r="P45" t="s">
        <v>156</v>
      </c>
      <c r="Q45" t="str">
        <f>_xlfn.XLOOKUP(angajati__2[[#This Row],[id_departament]],departamente!A:A,departamente!B:B)</f>
        <v>Operațiuni</v>
      </c>
      <c r="R45">
        <f t="shared" si="0"/>
        <v>30</v>
      </c>
      <c r="S45">
        <f t="shared" si="1"/>
        <v>8.5</v>
      </c>
      <c r="T45" t="str" cm="1">
        <f t="array" ref="T45">_xlfn.IFS(
    S45&lt;1, "&lt; 1 an",
    S45&lt;3, "1–3 ani",
    S45&lt;5, "3–5 ani",
    S45&gt;=5, "&gt; 5 ani"
)</f>
        <v>&gt; 5 ani</v>
      </c>
      <c r="U45">
        <f t="shared" si="2"/>
        <v>0</v>
      </c>
    </row>
    <row r="46" spans="1:21" x14ac:dyDescent="0.3">
      <c r="A46">
        <v>1138</v>
      </c>
      <c r="B46" t="s">
        <v>157</v>
      </c>
      <c r="C46" t="s">
        <v>110</v>
      </c>
      <c r="D46" t="s">
        <v>37</v>
      </c>
      <c r="E46" s="1">
        <v>30835</v>
      </c>
      <c r="F46" s="1">
        <v>43616</v>
      </c>
      <c r="G46">
        <v>80</v>
      </c>
      <c r="H46" t="s">
        <v>159</v>
      </c>
      <c r="I46" t="s">
        <v>30</v>
      </c>
      <c r="J46" t="s">
        <v>21</v>
      </c>
      <c r="K46" t="s">
        <v>40</v>
      </c>
      <c r="L46" s="15">
        <v>7450</v>
      </c>
      <c r="M46" t="s">
        <v>32</v>
      </c>
      <c r="P46" t="s">
        <v>160</v>
      </c>
      <c r="Q46" t="str">
        <f>_xlfn.XLOOKUP(angajati__2[[#This Row],[id_departament]],departamente!A:A,departamente!B:B)</f>
        <v>Juridic</v>
      </c>
      <c r="R46">
        <f t="shared" si="0"/>
        <v>41</v>
      </c>
      <c r="S46">
        <f t="shared" si="1"/>
        <v>6.6</v>
      </c>
      <c r="T46" t="str" cm="1">
        <f t="array" ref="T46">_xlfn.IFS(
    S46&lt;1, "&lt; 1 an",
    S46&lt;3, "1–3 ani",
    S46&lt;5, "3–5 ani",
    S46&gt;=5, "&gt; 5 ani"
)</f>
        <v>&gt; 5 ani</v>
      </c>
      <c r="U46">
        <f t="shared" si="2"/>
        <v>0</v>
      </c>
    </row>
    <row r="47" spans="1:21" x14ac:dyDescent="0.3">
      <c r="A47">
        <v>1128</v>
      </c>
      <c r="B47" t="s">
        <v>80</v>
      </c>
      <c r="C47" t="s">
        <v>119</v>
      </c>
      <c r="D47" t="s">
        <v>18</v>
      </c>
      <c r="E47" s="1">
        <v>34643</v>
      </c>
      <c r="F47" s="1">
        <v>45891</v>
      </c>
      <c r="G47">
        <v>70</v>
      </c>
      <c r="H47" t="s">
        <v>116</v>
      </c>
      <c r="I47" t="s">
        <v>39</v>
      </c>
      <c r="J47" t="s">
        <v>31</v>
      </c>
      <c r="K47" t="s">
        <v>22</v>
      </c>
      <c r="L47" s="15">
        <v>7500</v>
      </c>
      <c r="M47" t="s">
        <v>32</v>
      </c>
      <c r="P47" t="s">
        <v>162</v>
      </c>
      <c r="Q47" t="str">
        <f>_xlfn.XLOOKUP(angajati__2[[#This Row],[id_departament]],departamente!A:A,departamente!B:B)</f>
        <v>Operațiuni</v>
      </c>
      <c r="R47">
        <f t="shared" si="0"/>
        <v>31</v>
      </c>
      <c r="S47">
        <f t="shared" si="1"/>
        <v>0.4</v>
      </c>
      <c r="T47" t="str" cm="1">
        <f t="array" ref="T47">_xlfn.IFS(
    S47&lt;1, "&lt; 1 an",
    S47&lt;3, "1–3 ani",
    S47&lt;5, "3–5 ani",
    S47&gt;=5, "&gt; 5 ani"
)</f>
        <v>&lt; 1 an</v>
      </c>
      <c r="U47">
        <f t="shared" si="2"/>
        <v>0</v>
      </c>
    </row>
    <row r="48" spans="1:21" x14ac:dyDescent="0.3">
      <c r="A48">
        <v>1197</v>
      </c>
      <c r="B48" t="s">
        <v>73</v>
      </c>
      <c r="C48" t="s">
        <v>163</v>
      </c>
      <c r="D48" t="s">
        <v>18</v>
      </c>
      <c r="E48" s="1">
        <v>31159</v>
      </c>
      <c r="F48" s="1">
        <v>45364</v>
      </c>
      <c r="G48">
        <v>10</v>
      </c>
      <c r="H48" t="s">
        <v>87</v>
      </c>
      <c r="I48" t="s">
        <v>30</v>
      </c>
      <c r="J48" t="s">
        <v>46</v>
      </c>
      <c r="K48" t="s">
        <v>22</v>
      </c>
      <c r="L48" s="15">
        <v>8500</v>
      </c>
      <c r="M48" t="s">
        <v>32</v>
      </c>
      <c r="Q48" t="str">
        <f>_xlfn.XLOOKUP(angajati__2[[#This Row],[id_departament]],departamente!A:A,departamente!B:B)</f>
        <v>IT</v>
      </c>
      <c r="R48">
        <f t="shared" si="0"/>
        <v>40</v>
      </c>
      <c r="S48">
        <f t="shared" si="1"/>
        <v>1.8</v>
      </c>
      <c r="T48" t="str" cm="1">
        <f t="array" ref="T48">_xlfn.IFS(
    S48&lt;1, "&lt; 1 an",
    S48&lt;3, "1–3 ani",
    S48&lt;5, "3–5 ani",
    S48&gt;=5, "&gt; 5 ani"
)</f>
        <v>1–3 ani</v>
      </c>
      <c r="U48">
        <f t="shared" si="2"/>
        <v>0</v>
      </c>
    </row>
    <row r="49" spans="1:21" x14ac:dyDescent="0.3">
      <c r="A49">
        <v>1127</v>
      </c>
      <c r="B49" t="s">
        <v>164</v>
      </c>
      <c r="C49" t="s">
        <v>144</v>
      </c>
      <c r="D49" t="s">
        <v>37</v>
      </c>
      <c r="E49" s="1">
        <v>34134</v>
      </c>
      <c r="F49" s="1">
        <v>44425</v>
      </c>
      <c r="G49">
        <v>10</v>
      </c>
      <c r="H49" t="s">
        <v>44</v>
      </c>
      <c r="I49" t="s">
        <v>45</v>
      </c>
      <c r="J49" t="s">
        <v>21</v>
      </c>
      <c r="K49" t="s">
        <v>22</v>
      </c>
      <c r="L49" s="15">
        <v>6650</v>
      </c>
      <c r="M49" t="s">
        <v>32</v>
      </c>
      <c r="P49" t="s">
        <v>166</v>
      </c>
      <c r="Q49" t="str">
        <f>_xlfn.XLOOKUP(angajati__2[[#This Row],[id_departament]],departamente!A:A,departamente!B:B)</f>
        <v>IT</v>
      </c>
      <c r="R49">
        <f t="shared" si="0"/>
        <v>32</v>
      </c>
      <c r="S49">
        <f t="shared" si="1"/>
        <v>4.4000000000000004</v>
      </c>
      <c r="T49" t="str" cm="1">
        <f t="array" ref="T49">_xlfn.IFS(
    S49&lt;1, "&lt; 1 an",
    S49&lt;3, "1–3 ani",
    S49&lt;5, "3–5 ani",
    S49&gt;=5, "&gt; 5 ani"
)</f>
        <v>3–5 ani</v>
      </c>
      <c r="U49">
        <f t="shared" si="2"/>
        <v>0</v>
      </c>
    </row>
    <row r="50" spans="1:21" x14ac:dyDescent="0.3">
      <c r="A50">
        <v>1162</v>
      </c>
      <c r="B50" t="s">
        <v>125</v>
      </c>
      <c r="C50" t="s">
        <v>36</v>
      </c>
      <c r="D50" t="s">
        <v>37</v>
      </c>
      <c r="E50" s="1">
        <v>31995</v>
      </c>
      <c r="F50" s="1">
        <v>43950</v>
      </c>
      <c r="G50">
        <v>70</v>
      </c>
      <c r="H50" t="s">
        <v>75</v>
      </c>
      <c r="I50" t="s">
        <v>20</v>
      </c>
      <c r="J50" t="s">
        <v>31</v>
      </c>
      <c r="K50" t="s">
        <v>22</v>
      </c>
      <c r="L50" s="15">
        <v>10050</v>
      </c>
      <c r="M50" t="s">
        <v>23</v>
      </c>
      <c r="N50" s="1">
        <v>44269</v>
      </c>
      <c r="O50" t="s">
        <v>105</v>
      </c>
      <c r="P50" t="s">
        <v>167</v>
      </c>
      <c r="Q50" t="str">
        <f>_xlfn.XLOOKUP(angajati__2[[#This Row],[id_departament]],departamente!A:A,departamente!B:B)</f>
        <v>Operațiuni</v>
      </c>
      <c r="R50">
        <f t="shared" si="0"/>
        <v>38</v>
      </c>
      <c r="S50">
        <f t="shared" si="1"/>
        <v>0.9</v>
      </c>
      <c r="T50" t="str" cm="1">
        <f t="array" ref="T50">_xlfn.IFS(
    S50&lt;1, "&lt; 1 an",
    S50&lt;3, "1–3 ani",
    S50&lt;5, "3–5 ani",
    S50&gt;=5, "&gt; 5 ani"
)</f>
        <v>&lt; 1 an</v>
      </c>
      <c r="U50">
        <f t="shared" si="2"/>
        <v>1</v>
      </c>
    </row>
    <row r="51" spans="1:21" x14ac:dyDescent="0.3">
      <c r="A51">
        <v>1215</v>
      </c>
      <c r="B51" t="s">
        <v>42</v>
      </c>
      <c r="C51" t="s">
        <v>107</v>
      </c>
      <c r="D51" t="s">
        <v>37</v>
      </c>
      <c r="E51" s="1">
        <v>35282</v>
      </c>
      <c r="F51" s="1">
        <v>44952</v>
      </c>
      <c r="G51">
        <v>70</v>
      </c>
      <c r="H51" t="s">
        <v>38</v>
      </c>
      <c r="I51" t="s">
        <v>39</v>
      </c>
      <c r="J51" t="s">
        <v>31</v>
      </c>
      <c r="K51" t="s">
        <v>22</v>
      </c>
      <c r="L51" s="15">
        <v>9150</v>
      </c>
      <c r="M51" t="s">
        <v>32</v>
      </c>
      <c r="P51" t="s">
        <v>168</v>
      </c>
      <c r="Q51" t="str">
        <f>_xlfn.XLOOKUP(angajati__2[[#This Row],[id_departament]],departamente!A:A,departamente!B:B)</f>
        <v>Operațiuni</v>
      </c>
      <c r="R51">
        <f t="shared" si="0"/>
        <v>29</v>
      </c>
      <c r="S51">
        <f t="shared" si="1"/>
        <v>2.9</v>
      </c>
      <c r="T51" t="str" cm="1">
        <f t="array" ref="T51">_xlfn.IFS(
    S51&lt;1, "&lt; 1 an",
    S51&lt;3, "1–3 ani",
    S51&lt;5, "3–5 ani",
    S51&gt;=5, "&gt; 5 ani"
)</f>
        <v>1–3 ani</v>
      </c>
      <c r="U51">
        <f t="shared" si="2"/>
        <v>0</v>
      </c>
    </row>
    <row r="52" spans="1:21" x14ac:dyDescent="0.3">
      <c r="A52">
        <v>1230</v>
      </c>
      <c r="B52" t="s">
        <v>147</v>
      </c>
      <c r="C52" t="s">
        <v>119</v>
      </c>
      <c r="D52" t="s">
        <v>18</v>
      </c>
      <c r="E52" s="1">
        <v>32591</v>
      </c>
      <c r="F52" s="1">
        <v>44305</v>
      </c>
      <c r="G52">
        <v>20</v>
      </c>
      <c r="H52" t="s">
        <v>104</v>
      </c>
      <c r="I52" t="s">
        <v>30</v>
      </c>
      <c r="J52" t="s">
        <v>46</v>
      </c>
      <c r="K52" t="s">
        <v>22</v>
      </c>
      <c r="L52" s="15">
        <v>5650</v>
      </c>
      <c r="M52" t="s">
        <v>32</v>
      </c>
      <c r="P52" t="s">
        <v>170</v>
      </c>
      <c r="Q52" t="str">
        <f>_xlfn.XLOOKUP(angajati__2[[#This Row],[id_departament]],departamente!A:A,departamente!B:B)</f>
        <v>Vânzări</v>
      </c>
      <c r="R52">
        <f t="shared" si="0"/>
        <v>36</v>
      </c>
      <c r="S52">
        <f t="shared" si="1"/>
        <v>4.7</v>
      </c>
      <c r="T52" t="str" cm="1">
        <f t="array" ref="T52">_xlfn.IFS(
    S52&lt;1, "&lt; 1 an",
    S52&lt;3, "1–3 ani",
    S52&lt;5, "3–5 ani",
    S52&gt;=5, "&gt; 5 ani"
)</f>
        <v>3–5 ani</v>
      </c>
      <c r="U52">
        <f t="shared" si="2"/>
        <v>0</v>
      </c>
    </row>
    <row r="53" spans="1:21" x14ac:dyDescent="0.3">
      <c r="A53">
        <v>1352</v>
      </c>
      <c r="B53" t="s">
        <v>92</v>
      </c>
      <c r="C53" t="s">
        <v>171</v>
      </c>
      <c r="D53" t="s">
        <v>18</v>
      </c>
      <c r="E53" s="1">
        <v>33491</v>
      </c>
      <c r="F53" s="1">
        <v>44382</v>
      </c>
      <c r="G53">
        <v>10</v>
      </c>
      <c r="H53" t="s">
        <v>108</v>
      </c>
      <c r="I53" t="s">
        <v>45</v>
      </c>
      <c r="J53" t="s">
        <v>21</v>
      </c>
      <c r="K53" t="s">
        <v>22</v>
      </c>
      <c r="L53" s="15">
        <v>6250</v>
      </c>
      <c r="M53" t="s">
        <v>32</v>
      </c>
      <c r="P53" t="s">
        <v>172</v>
      </c>
      <c r="Q53" t="str">
        <f>_xlfn.XLOOKUP(angajati__2[[#This Row],[id_departament]],departamente!A:A,departamente!B:B)</f>
        <v>IT</v>
      </c>
      <c r="R53">
        <f t="shared" si="0"/>
        <v>34</v>
      </c>
      <c r="S53">
        <f t="shared" si="1"/>
        <v>4.5</v>
      </c>
      <c r="T53" t="str" cm="1">
        <f t="array" ref="T53">_xlfn.IFS(
    S53&lt;1, "&lt; 1 an",
    S53&lt;3, "1–3 ani",
    S53&lt;5, "3–5 ani",
    S53&gt;=5, "&gt; 5 ani"
)</f>
        <v>3–5 ani</v>
      </c>
      <c r="U53">
        <f t="shared" si="2"/>
        <v>0</v>
      </c>
    </row>
    <row r="54" spans="1:21" x14ac:dyDescent="0.3">
      <c r="A54">
        <v>1335</v>
      </c>
      <c r="B54" t="s">
        <v>157</v>
      </c>
      <c r="C54" t="s">
        <v>171</v>
      </c>
      <c r="D54" t="s">
        <v>18</v>
      </c>
      <c r="E54" s="1">
        <v>31004</v>
      </c>
      <c r="F54" s="1">
        <v>44066</v>
      </c>
      <c r="G54">
        <v>40</v>
      </c>
      <c r="H54" t="s">
        <v>120</v>
      </c>
      <c r="I54" t="s">
        <v>39</v>
      </c>
      <c r="J54" t="s">
        <v>21</v>
      </c>
      <c r="K54" t="s">
        <v>22</v>
      </c>
      <c r="L54" s="15">
        <v>8150</v>
      </c>
      <c r="M54" t="s">
        <v>32</v>
      </c>
      <c r="P54" t="s">
        <v>173</v>
      </c>
      <c r="Q54" t="str">
        <f>_xlfn.XLOOKUP(angajati__2[[#This Row],[id_departament]],departamente!A:A,departamente!B:B)</f>
        <v>Resurse Umane</v>
      </c>
      <c r="R54">
        <f t="shared" si="0"/>
        <v>41</v>
      </c>
      <c r="S54">
        <f t="shared" si="1"/>
        <v>5.4</v>
      </c>
      <c r="T54" t="str" cm="1">
        <f t="array" ref="T54">_xlfn.IFS(
    S54&lt;1, "&lt; 1 an",
    S54&lt;3, "1–3 ani",
    S54&lt;5, "3–5 ani",
    S54&gt;=5, "&gt; 5 ani"
)</f>
        <v>&gt; 5 ani</v>
      </c>
      <c r="U54">
        <f t="shared" si="2"/>
        <v>0</v>
      </c>
    </row>
    <row r="55" spans="1:21" x14ac:dyDescent="0.3">
      <c r="A55">
        <v>1017</v>
      </c>
      <c r="B55" t="s">
        <v>134</v>
      </c>
      <c r="C55" t="s">
        <v>74</v>
      </c>
      <c r="D55" t="s">
        <v>18</v>
      </c>
      <c r="E55" s="1">
        <v>34001</v>
      </c>
      <c r="F55" s="1">
        <v>42419</v>
      </c>
      <c r="G55">
        <v>10</v>
      </c>
      <c r="H55" t="s">
        <v>108</v>
      </c>
      <c r="I55" t="s">
        <v>45</v>
      </c>
      <c r="J55" t="s">
        <v>21</v>
      </c>
      <c r="K55" t="s">
        <v>22</v>
      </c>
      <c r="L55" s="15">
        <v>4850</v>
      </c>
      <c r="M55" t="s">
        <v>32</v>
      </c>
      <c r="P55" t="s">
        <v>175</v>
      </c>
      <c r="Q55" t="str">
        <f>_xlfn.XLOOKUP(angajati__2[[#This Row],[id_departament]],departamente!A:A,departamente!B:B)</f>
        <v>IT</v>
      </c>
      <c r="R55">
        <f t="shared" si="0"/>
        <v>32</v>
      </c>
      <c r="S55">
        <f t="shared" si="1"/>
        <v>9.9</v>
      </c>
      <c r="T55" t="str" cm="1">
        <f t="array" ref="T55">_xlfn.IFS(
    S55&lt;1, "&lt; 1 an",
    S55&lt;3, "1–3 ani",
    S55&lt;5, "3–5 ani",
    S55&gt;=5, "&gt; 5 ani"
)</f>
        <v>&gt; 5 ani</v>
      </c>
      <c r="U55">
        <f t="shared" si="2"/>
        <v>0</v>
      </c>
    </row>
    <row r="56" spans="1:21" x14ac:dyDescent="0.3">
      <c r="A56">
        <v>1015</v>
      </c>
      <c r="B56" t="s">
        <v>35</v>
      </c>
      <c r="C56" t="s">
        <v>43</v>
      </c>
      <c r="D56" t="s">
        <v>37</v>
      </c>
      <c r="E56" s="1">
        <v>27114</v>
      </c>
      <c r="F56" s="1">
        <v>45363</v>
      </c>
      <c r="G56">
        <v>70</v>
      </c>
      <c r="H56" t="s">
        <v>38</v>
      </c>
      <c r="I56" t="s">
        <v>39</v>
      </c>
      <c r="J56" t="s">
        <v>31</v>
      </c>
      <c r="K56" t="s">
        <v>40</v>
      </c>
      <c r="L56" s="15">
        <v>7750</v>
      </c>
      <c r="M56" t="s">
        <v>23</v>
      </c>
      <c r="N56" s="1">
        <v>45872</v>
      </c>
      <c r="O56" t="s">
        <v>105</v>
      </c>
      <c r="P56" t="s">
        <v>176</v>
      </c>
      <c r="Q56" t="str">
        <f>_xlfn.XLOOKUP(angajati__2[[#This Row],[id_departament]],departamente!A:A,departamente!B:B)</f>
        <v>Operațiuni</v>
      </c>
      <c r="R56">
        <f t="shared" si="0"/>
        <v>51</v>
      </c>
      <c r="S56">
        <f t="shared" si="1"/>
        <v>1.4</v>
      </c>
      <c r="T56" t="str" cm="1">
        <f t="array" ref="T56">_xlfn.IFS(
    S56&lt;1, "&lt; 1 an",
    S56&lt;3, "1–3 ani",
    S56&lt;5, "3–5 ani",
    S56&gt;=5, "&gt; 5 ani"
)</f>
        <v>1–3 ani</v>
      </c>
      <c r="U56">
        <f t="shared" si="2"/>
        <v>1</v>
      </c>
    </row>
    <row r="57" spans="1:21" x14ac:dyDescent="0.3">
      <c r="A57">
        <v>1041</v>
      </c>
      <c r="B57" t="s">
        <v>94</v>
      </c>
      <c r="C57" t="s">
        <v>65</v>
      </c>
      <c r="D57" t="s">
        <v>18</v>
      </c>
      <c r="E57" s="1">
        <v>31890</v>
      </c>
      <c r="F57" s="1">
        <v>44966</v>
      </c>
      <c r="G57">
        <v>70</v>
      </c>
      <c r="H57" t="s">
        <v>38</v>
      </c>
      <c r="I57" t="s">
        <v>30</v>
      </c>
      <c r="J57" t="s">
        <v>21</v>
      </c>
      <c r="K57" t="s">
        <v>22</v>
      </c>
      <c r="L57" s="15">
        <v>5250</v>
      </c>
      <c r="M57" t="s">
        <v>23</v>
      </c>
      <c r="N57" s="1">
        <v>45131</v>
      </c>
      <c r="O57" t="s">
        <v>117</v>
      </c>
      <c r="P57" t="s">
        <v>177</v>
      </c>
      <c r="Q57" t="str">
        <f>_xlfn.XLOOKUP(angajati__2[[#This Row],[id_departament]],departamente!A:A,departamente!B:B)</f>
        <v>Operațiuni</v>
      </c>
      <c r="R57">
        <f t="shared" si="0"/>
        <v>38</v>
      </c>
      <c r="S57">
        <f t="shared" si="1"/>
        <v>0.5</v>
      </c>
      <c r="T57" t="str" cm="1">
        <f t="array" ref="T57">_xlfn.IFS(
    S57&lt;1, "&lt; 1 an",
    S57&lt;3, "1–3 ani",
    S57&lt;5, "3–5 ani",
    S57&gt;=5, "&gt; 5 ani"
)</f>
        <v>&lt; 1 an</v>
      </c>
      <c r="U57">
        <f t="shared" si="2"/>
        <v>1</v>
      </c>
    </row>
    <row r="58" spans="1:21" x14ac:dyDescent="0.3">
      <c r="A58">
        <v>1113</v>
      </c>
      <c r="B58" t="s">
        <v>70</v>
      </c>
      <c r="C58" t="s">
        <v>178</v>
      </c>
      <c r="D58" t="s">
        <v>18</v>
      </c>
      <c r="E58" s="1">
        <v>34227</v>
      </c>
      <c r="F58" s="1">
        <v>45686</v>
      </c>
      <c r="G58">
        <v>10</v>
      </c>
      <c r="H58" t="s">
        <v>108</v>
      </c>
      <c r="I58" t="s">
        <v>39</v>
      </c>
      <c r="J58" t="s">
        <v>21</v>
      </c>
      <c r="K58" t="s">
        <v>22</v>
      </c>
      <c r="L58" s="15">
        <v>12000</v>
      </c>
      <c r="M58" t="s">
        <v>32</v>
      </c>
      <c r="P58" t="s">
        <v>179</v>
      </c>
      <c r="Q58" t="str">
        <f>_xlfn.XLOOKUP(angajati__2[[#This Row],[id_departament]],departamente!A:A,departamente!B:B)</f>
        <v>IT</v>
      </c>
      <c r="R58">
        <f t="shared" si="0"/>
        <v>32</v>
      </c>
      <c r="S58">
        <f t="shared" si="1"/>
        <v>0.9</v>
      </c>
      <c r="T58" t="str" cm="1">
        <f t="array" ref="T58">_xlfn.IFS(
    S58&lt;1, "&lt; 1 an",
    S58&lt;3, "1–3 ani",
    S58&lt;5, "3–5 ani",
    S58&gt;=5, "&gt; 5 ani"
)</f>
        <v>&lt; 1 an</v>
      </c>
      <c r="U58">
        <f t="shared" si="2"/>
        <v>0</v>
      </c>
    </row>
    <row r="59" spans="1:21" x14ac:dyDescent="0.3">
      <c r="A59">
        <v>1052</v>
      </c>
      <c r="B59" t="s">
        <v>180</v>
      </c>
      <c r="C59" t="s">
        <v>131</v>
      </c>
      <c r="D59" t="s">
        <v>18</v>
      </c>
      <c r="E59" s="1">
        <v>28745</v>
      </c>
      <c r="F59" s="1">
        <v>45108</v>
      </c>
      <c r="G59">
        <v>60</v>
      </c>
      <c r="H59" t="s">
        <v>29</v>
      </c>
      <c r="I59" t="s">
        <v>39</v>
      </c>
      <c r="J59" t="s">
        <v>52</v>
      </c>
      <c r="K59" t="s">
        <v>22</v>
      </c>
      <c r="L59" s="15">
        <v>6050</v>
      </c>
      <c r="M59" t="s">
        <v>32</v>
      </c>
      <c r="P59" t="s">
        <v>181</v>
      </c>
      <c r="Q59" t="str">
        <f>_xlfn.XLOOKUP(angajati__2[[#This Row],[id_departament]],departamente!A:A,departamente!B:B)</f>
        <v>Suport Clienți</v>
      </c>
      <c r="R59">
        <f t="shared" si="0"/>
        <v>47</v>
      </c>
      <c r="S59">
        <f t="shared" si="1"/>
        <v>2.5</v>
      </c>
      <c r="T59" t="str" cm="1">
        <f t="array" ref="T59">_xlfn.IFS(
    S59&lt;1, "&lt; 1 an",
    S59&lt;3, "1–3 ani",
    S59&lt;5, "3–5 ani",
    S59&gt;=5, "&gt; 5 ani"
)</f>
        <v>1–3 ani</v>
      </c>
      <c r="U59">
        <f t="shared" si="2"/>
        <v>0</v>
      </c>
    </row>
    <row r="60" spans="1:21" x14ac:dyDescent="0.3">
      <c r="A60">
        <v>1211</v>
      </c>
      <c r="B60" t="s">
        <v>100</v>
      </c>
      <c r="C60" t="s">
        <v>98</v>
      </c>
      <c r="D60" t="s">
        <v>37</v>
      </c>
      <c r="E60" s="1">
        <v>31948</v>
      </c>
      <c r="F60" s="1">
        <v>43825</v>
      </c>
      <c r="G60">
        <v>80</v>
      </c>
      <c r="H60" t="s">
        <v>159</v>
      </c>
      <c r="I60" t="s">
        <v>30</v>
      </c>
      <c r="J60" t="s">
        <v>21</v>
      </c>
      <c r="K60" t="s">
        <v>22</v>
      </c>
      <c r="L60" s="15">
        <v>7600</v>
      </c>
      <c r="M60" t="s">
        <v>32</v>
      </c>
      <c r="P60" t="s">
        <v>182</v>
      </c>
      <c r="Q60" t="str">
        <f>_xlfn.XLOOKUP(angajati__2[[#This Row],[id_departament]],departamente!A:A,departamente!B:B)</f>
        <v>Juridic</v>
      </c>
      <c r="R60">
        <f t="shared" si="0"/>
        <v>38</v>
      </c>
      <c r="S60">
        <f t="shared" si="1"/>
        <v>6</v>
      </c>
      <c r="T60" t="str" cm="1">
        <f t="array" ref="T60">_xlfn.IFS(
    S60&lt;1, "&lt; 1 an",
    S60&lt;3, "1–3 ani",
    S60&lt;5, "3–5 ani",
    S60&gt;=5, "&gt; 5 ani"
)</f>
        <v>&gt; 5 ani</v>
      </c>
      <c r="U60">
        <f t="shared" si="2"/>
        <v>0</v>
      </c>
    </row>
    <row r="61" spans="1:21" x14ac:dyDescent="0.3">
      <c r="A61">
        <v>1447</v>
      </c>
      <c r="B61" t="s">
        <v>94</v>
      </c>
      <c r="C61" t="s">
        <v>171</v>
      </c>
      <c r="D61" t="s">
        <v>18</v>
      </c>
      <c r="E61" s="1">
        <v>30051</v>
      </c>
      <c r="F61" s="1">
        <v>44271</v>
      </c>
      <c r="G61">
        <v>10</v>
      </c>
      <c r="H61" t="s">
        <v>108</v>
      </c>
      <c r="I61" t="s">
        <v>30</v>
      </c>
      <c r="J61" t="s">
        <v>21</v>
      </c>
      <c r="K61" t="s">
        <v>22</v>
      </c>
      <c r="L61" s="15">
        <v>7650</v>
      </c>
      <c r="M61" t="s">
        <v>32</v>
      </c>
      <c r="P61" t="s">
        <v>183</v>
      </c>
      <c r="Q61" t="str">
        <f>_xlfn.XLOOKUP(angajati__2[[#This Row],[id_departament]],departamente!A:A,departamente!B:B)</f>
        <v>IT</v>
      </c>
      <c r="R61">
        <f t="shared" si="0"/>
        <v>43</v>
      </c>
      <c r="S61">
        <f t="shared" si="1"/>
        <v>4.8</v>
      </c>
      <c r="T61" t="str" cm="1">
        <f t="array" ref="T61">_xlfn.IFS(
    S61&lt;1, "&lt; 1 an",
    S61&lt;3, "1–3 ani",
    S61&lt;5, "3–5 ani",
    S61&gt;=5, "&gt; 5 ani"
)</f>
        <v>3–5 ani</v>
      </c>
      <c r="U61">
        <f t="shared" si="2"/>
        <v>0</v>
      </c>
    </row>
    <row r="62" spans="1:21" x14ac:dyDescent="0.3">
      <c r="A62">
        <v>1044</v>
      </c>
      <c r="B62" t="s">
        <v>157</v>
      </c>
      <c r="C62" t="s">
        <v>184</v>
      </c>
      <c r="D62" t="s">
        <v>37</v>
      </c>
      <c r="E62" s="1">
        <v>28171</v>
      </c>
      <c r="F62" s="1">
        <v>45340</v>
      </c>
      <c r="G62">
        <v>50</v>
      </c>
      <c r="H62" t="s">
        <v>142</v>
      </c>
      <c r="I62" t="s">
        <v>20</v>
      </c>
      <c r="J62" t="s">
        <v>52</v>
      </c>
      <c r="K62" t="s">
        <v>22</v>
      </c>
      <c r="L62" s="15">
        <v>12350</v>
      </c>
      <c r="M62" t="s">
        <v>32</v>
      </c>
      <c r="P62" t="s">
        <v>185</v>
      </c>
      <c r="Q62" t="str">
        <f>_xlfn.XLOOKUP(angajati__2[[#This Row],[id_departament]],departamente!A:A,departamente!B:B)</f>
        <v>Financiar</v>
      </c>
      <c r="R62">
        <f t="shared" si="0"/>
        <v>48</v>
      </c>
      <c r="S62">
        <f t="shared" si="1"/>
        <v>1.9</v>
      </c>
      <c r="T62" t="str" cm="1">
        <f t="array" ref="T62">_xlfn.IFS(
    S62&lt;1, "&lt; 1 an",
    S62&lt;3, "1–3 ani",
    S62&lt;5, "3–5 ani",
    S62&gt;=5, "&gt; 5 ani"
)</f>
        <v>1–3 ani</v>
      </c>
      <c r="U62">
        <f t="shared" si="2"/>
        <v>0</v>
      </c>
    </row>
    <row r="63" spans="1:21" x14ac:dyDescent="0.3">
      <c r="A63">
        <v>1291</v>
      </c>
      <c r="B63" t="s">
        <v>147</v>
      </c>
      <c r="C63" t="s">
        <v>27</v>
      </c>
      <c r="D63" t="s">
        <v>37</v>
      </c>
      <c r="E63" s="1">
        <v>29877</v>
      </c>
      <c r="F63" s="1">
        <v>42630</v>
      </c>
      <c r="G63">
        <v>60</v>
      </c>
      <c r="H63" t="s">
        <v>29</v>
      </c>
      <c r="I63" t="s">
        <v>39</v>
      </c>
      <c r="J63" t="s">
        <v>52</v>
      </c>
      <c r="K63" t="s">
        <v>22</v>
      </c>
      <c r="L63" s="15">
        <v>6900</v>
      </c>
      <c r="M63" t="s">
        <v>23</v>
      </c>
      <c r="N63" s="1">
        <v>44046</v>
      </c>
      <c r="O63" t="s">
        <v>186</v>
      </c>
      <c r="P63" t="s">
        <v>187</v>
      </c>
      <c r="Q63" t="str">
        <f>_xlfn.XLOOKUP(angajati__2[[#This Row],[id_departament]],departamente!A:A,departamente!B:B)</f>
        <v>Suport Clienți</v>
      </c>
      <c r="R63">
        <f t="shared" si="0"/>
        <v>44</v>
      </c>
      <c r="S63">
        <f t="shared" si="1"/>
        <v>3.9</v>
      </c>
      <c r="T63" t="str" cm="1">
        <f t="array" ref="T63">_xlfn.IFS(
    S63&lt;1, "&lt; 1 an",
    S63&lt;3, "1–3 ani",
    S63&lt;5, "3–5 ani",
    S63&gt;=5, "&gt; 5 ani"
)</f>
        <v>3–5 ani</v>
      </c>
      <c r="U63">
        <f t="shared" si="2"/>
        <v>1</v>
      </c>
    </row>
    <row r="64" spans="1:21" x14ac:dyDescent="0.3">
      <c r="A64">
        <v>1287</v>
      </c>
      <c r="B64" t="s">
        <v>188</v>
      </c>
      <c r="C64" t="s">
        <v>107</v>
      </c>
      <c r="D64" t="s">
        <v>37</v>
      </c>
      <c r="E64" s="1">
        <v>33974</v>
      </c>
      <c r="F64" s="1">
        <v>42462</v>
      </c>
      <c r="G64">
        <v>10</v>
      </c>
      <c r="H64" t="s">
        <v>87</v>
      </c>
      <c r="I64" t="s">
        <v>45</v>
      </c>
      <c r="J64" t="s">
        <v>21</v>
      </c>
      <c r="K64" t="s">
        <v>22</v>
      </c>
      <c r="L64" s="15">
        <v>7500</v>
      </c>
      <c r="M64" t="s">
        <v>32</v>
      </c>
      <c r="P64" t="s">
        <v>189</v>
      </c>
      <c r="Q64" t="str">
        <f>_xlfn.XLOOKUP(angajati__2[[#This Row],[id_departament]],departamente!A:A,departamente!B:B)</f>
        <v>IT</v>
      </c>
      <c r="R64">
        <f t="shared" si="0"/>
        <v>32</v>
      </c>
      <c r="S64">
        <f t="shared" si="1"/>
        <v>9.6999999999999993</v>
      </c>
      <c r="T64" t="str" cm="1">
        <f t="array" ref="T64">_xlfn.IFS(
    S64&lt;1, "&lt; 1 an",
    S64&lt;3, "1–3 ani",
    S64&lt;5, "3–5 ani",
    S64&gt;=5, "&gt; 5 ani"
)</f>
        <v>&gt; 5 ani</v>
      </c>
      <c r="U64">
        <f t="shared" si="2"/>
        <v>0</v>
      </c>
    </row>
    <row r="65" spans="1:21" x14ac:dyDescent="0.3">
      <c r="A65">
        <v>1329</v>
      </c>
      <c r="B65" t="s">
        <v>89</v>
      </c>
      <c r="C65" t="s">
        <v>107</v>
      </c>
      <c r="D65" t="s">
        <v>37</v>
      </c>
      <c r="E65" s="1">
        <v>32818</v>
      </c>
      <c r="F65" s="1">
        <v>43958</v>
      </c>
      <c r="G65">
        <v>50</v>
      </c>
      <c r="H65" t="s">
        <v>123</v>
      </c>
      <c r="I65" t="s">
        <v>39</v>
      </c>
      <c r="J65" t="s">
        <v>52</v>
      </c>
      <c r="K65" t="s">
        <v>22</v>
      </c>
      <c r="L65" s="15">
        <v>9400</v>
      </c>
      <c r="M65" t="s">
        <v>23</v>
      </c>
      <c r="N65" s="1">
        <v>44626</v>
      </c>
      <c r="O65" t="s">
        <v>687</v>
      </c>
      <c r="P65" t="s">
        <v>190</v>
      </c>
      <c r="Q65" t="str">
        <f>_xlfn.XLOOKUP(angajati__2[[#This Row],[id_departament]],departamente!A:A,departamente!B:B)</f>
        <v>Financiar</v>
      </c>
      <c r="R65">
        <f t="shared" si="0"/>
        <v>36</v>
      </c>
      <c r="S65">
        <f t="shared" si="1"/>
        <v>1.8</v>
      </c>
      <c r="T65" t="str" cm="1">
        <f t="array" ref="T65">_xlfn.IFS(
    S65&lt;1, "&lt; 1 an",
    S65&lt;3, "1–3 ani",
    S65&lt;5, "3–5 ani",
    S65&gt;=5, "&gt; 5 ani"
)</f>
        <v>1–3 ani</v>
      </c>
      <c r="U65">
        <f t="shared" si="2"/>
        <v>1</v>
      </c>
    </row>
    <row r="66" spans="1:21" x14ac:dyDescent="0.3">
      <c r="A66">
        <v>1244</v>
      </c>
      <c r="B66" t="s">
        <v>92</v>
      </c>
      <c r="C66" t="s">
        <v>36</v>
      </c>
      <c r="D66" t="s">
        <v>37</v>
      </c>
      <c r="E66" s="1">
        <v>29448</v>
      </c>
      <c r="F66" s="1">
        <v>42669</v>
      </c>
      <c r="G66">
        <v>60</v>
      </c>
      <c r="H66" t="s">
        <v>29</v>
      </c>
      <c r="I66" t="s">
        <v>39</v>
      </c>
      <c r="J66" t="s">
        <v>21</v>
      </c>
      <c r="K66" t="s">
        <v>40</v>
      </c>
      <c r="L66" s="15">
        <v>6850</v>
      </c>
      <c r="M66" t="s">
        <v>23</v>
      </c>
      <c r="N66" s="1">
        <v>43120</v>
      </c>
      <c r="O66" t="s">
        <v>62</v>
      </c>
      <c r="P66" t="s">
        <v>192</v>
      </c>
      <c r="Q66" t="str">
        <f>_xlfn.XLOOKUP(angajati__2[[#This Row],[id_departament]],departamente!A:A,departamente!B:B)</f>
        <v>Suport Clienți</v>
      </c>
      <c r="R66">
        <f t="shared" ref="R66:R129" si="3">DATEDIF(E66,DATE(2025,12,31), "y")</f>
        <v>45</v>
      </c>
      <c r="S66">
        <f t="shared" ref="S66:S129" si="4">ROUND(YEARFRAC(F66, IF(M66="Plecat", N66, DATE(2025,12,31)), 1), 1)</f>
        <v>1.2</v>
      </c>
      <c r="T66" t="str" cm="1">
        <f t="array" ref="T66">_xlfn.IFS(
    S66&lt;1, "&lt; 1 an",
    S66&lt;3, "1–3 ani",
    S66&lt;5, "3–5 ani",
    S66&gt;=5, "&gt; 5 ani"
)</f>
        <v>1–3 ani</v>
      </c>
      <c r="U66">
        <f t="shared" ref="U66:U129" si="5">IF(M66="Plecat", 1, 0)</f>
        <v>1</v>
      </c>
    </row>
    <row r="67" spans="1:21" x14ac:dyDescent="0.3">
      <c r="A67">
        <v>1194</v>
      </c>
      <c r="B67" t="s">
        <v>134</v>
      </c>
      <c r="C67" t="s">
        <v>27</v>
      </c>
      <c r="D67" t="s">
        <v>37</v>
      </c>
      <c r="E67" s="1">
        <v>31421</v>
      </c>
      <c r="F67" s="1">
        <v>45046</v>
      </c>
      <c r="G67">
        <v>50</v>
      </c>
      <c r="H67" t="s">
        <v>123</v>
      </c>
      <c r="I67" t="s">
        <v>30</v>
      </c>
      <c r="J67" t="s">
        <v>52</v>
      </c>
      <c r="K67" t="s">
        <v>22</v>
      </c>
      <c r="L67" s="15">
        <v>6150</v>
      </c>
      <c r="M67" t="s">
        <v>32</v>
      </c>
      <c r="P67" t="s">
        <v>193</v>
      </c>
      <c r="Q67" t="str">
        <f>_xlfn.XLOOKUP(angajati__2[[#This Row],[id_departament]],departamente!A:A,departamente!B:B)</f>
        <v>Financiar</v>
      </c>
      <c r="R67">
        <f t="shared" si="3"/>
        <v>39</v>
      </c>
      <c r="S67">
        <f t="shared" si="4"/>
        <v>2.7</v>
      </c>
      <c r="T67" t="str" cm="1">
        <f t="array" ref="T67">_xlfn.IFS(
    S67&lt;1, "&lt; 1 an",
    S67&lt;3, "1–3 ani",
    S67&lt;5, "3–5 ani",
    S67&gt;=5, "&gt; 5 ani"
)</f>
        <v>1–3 ani</v>
      </c>
      <c r="U67">
        <f t="shared" si="5"/>
        <v>0</v>
      </c>
    </row>
    <row r="68" spans="1:21" x14ac:dyDescent="0.3">
      <c r="A68">
        <v>1067</v>
      </c>
      <c r="B68" t="s">
        <v>64</v>
      </c>
      <c r="C68" t="s">
        <v>194</v>
      </c>
      <c r="D68" t="s">
        <v>37</v>
      </c>
      <c r="E68" s="1">
        <v>35305</v>
      </c>
      <c r="F68" s="1">
        <v>44474</v>
      </c>
      <c r="G68">
        <v>10</v>
      </c>
      <c r="H68" t="s">
        <v>44</v>
      </c>
      <c r="I68" t="s">
        <v>45</v>
      </c>
      <c r="J68" t="s">
        <v>21</v>
      </c>
      <c r="K68" t="s">
        <v>22</v>
      </c>
      <c r="L68" s="15">
        <v>6200</v>
      </c>
      <c r="M68" t="s">
        <v>32</v>
      </c>
      <c r="P68" t="s">
        <v>195</v>
      </c>
      <c r="Q68" t="str">
        <f>_xlfn.XLOOKUP(angajati__2[[#This Row],[id_departament]],departamente!A:A,departamente!B:B)</f>
        <v>IT</v>
      </c>
      <c r="R68">
        <f t="shared" si="3"/>
        <v>29</v>
      </c>
      <c r="S68">
        <f t="shared" si="4"/>
        <v>4.2</v>
      </c>
      <c r="T68" t="str" cm="1">
        <f t="array" ref="T68">_xlfn.IFS(
    S68&lt;1, "&lt; 1 an",
    S68&lt;3, "1–3 ani",
    S68&lt;5, "3–5 ani",
    S68&gt;=5, "&gt; 5 ani"
)</f>
        <v>3–5 ani</v>
      </c>
      <c r="U68">
        <f t="shared" si="5"/>
        <v>0</v>
      </c>
    </row>
    <row r="69" spans="1:21" x14ac:dyDescent="0.3">
      <c r="A69">
        <v>1205</v>
      </c>
      <c r="B69" t="s">
        <v>180</v>
      </c>
      <c r="C69" t="s">
        <v>36</v>
      </c>
      <c r="D69" t="s">
        <v>37</v>
      </c>
      <c r="E69" s="1">
        <v>29527</v>
      </c>
      <c r="F69" s="1">
        <v>45599</v>
      </c>
      <c r="G69">
        <v>60</v>
      </c>
      <c r="H69" t="s">
        <v>78</v>
      </c>
      <c r="I69" t="s">
        <v>45</v>
      </c>
      <c r="J69" t="s">
        <v>46</v>
      </c>
      <c r="K69" t="s">
        <v>22</v>
      </c>
      <c r="L69" s="15">
        <v>2650</v>
      </c>
      <c r="M69" t="s">
        <v>32</v>
      </c>
      <c r="P69" t="s">
        <v>196</v>
      </c>
      <c r="Q69" t="str">
        <f>_xlfn.XLOOKUP(angajati__2[[#This Row],[id_departament]],departamente!A:A,departamente!B:B)</f>
        <v>Suport Clienți</v>
      </c>
      <c r="R69">
        <f t="shared" si="3"/>
        <v>45</v>
      </c>
      <c r="S69">
        <f t="shared" si="4"/>
        <v>1.2</v>
      </c>
      <c r="T69" t="str" cm="1">
        <f t="array" ref="T69">_xlfn.IFS(
    S69&lt;1, "&lt; 1 an",
    S69&lt;3, "1–3 ani",
    S69&lt;5, "3–5 ani",
    S69&gt;=5, "&gt; 5 ani"
)</f>
        <v>1–3 ani</v>
      </c>
      <c r="U69">
        <f t="shared" si="5"/>
        <v>0</v>
      </c>
    </row>
    <row r="70" spans="1:21" x14ac:dyDescent="0.3">
      <c r="A70">
        <v>1270</v>
      </c>
      <c r="B70" t="s">
        <v>92</v>
      </c>
      <c r="C70" t="s">
        <v>131</v>
      </c>
      <c r="D70" t="s">
        <v>18</v>
      </c>
      <c r="E70" s="1">
        <v>31467</v>
      </c>
      <c r="F70" s="1">
        <v>45668</v>
      </c>
      <c r="G70">
        <v>60</v>
      </c>
      <c r="H70" t="s">
        <v>78</v>
      </c>
      <c r="I70" t="s">
        <v>39</v>
      </c>
      <c r="J70" t="s">
        <v>52</v>
      </c>
      <c r="K70" t="s">
        <v>22</v>
      </c>
      <c r="L70" s="15">
        <v>5900</v>
      </c>
      <c r="M70" t="s">
        <v>23</v>
      </c>
      <c r="N70" s="1">
        <v>45876</v>
      </c>
      <c r="O70" t="s">
        <v>117</v>
      </c>
      <c r="P70" t="s">
        <v>197</v>
      </c>
      <c r="Q70" t="str">
        <f>_xlfn.XLOOKUP(angajati__2[[#This Row],[id_departament]],departamente!A:A,departamente!B:B)</f>
        <v>Suport Clienți</v>
      </c>
      <c r="R70">
        <f t="shared" si="3"/>
        <v>39</v>
      </c>
      <c r="S70">
        <f t="shared" si="4"/>
        <v>0.6</v>
      </c>
      <c r="T70" t="str" cm="1">
        <f t="array" ref="T70">_xlfn.IFS(
    S70&lt;1, "&lt; 1 an",
    S70&lt;3, "1–3 ani",
    S70&lt;5, "3–5 ani",
    S70&gt;=5, "&gt; 5 ani"
)</f>
        <v>&lt; 1 an</v>
      </c>
      <c r="U70">
        <f t="shared" si="5"/>
        <v>1</v>
      </c>
    </row>
    <row r="71" spans="1:21" x14ac:dyDescent="0.3">
      <c r="A71">
        <v>1440</v>
      </c>
      <c r="B71" t="s">
        <v>112</v>
      </c>
      <c r="C71" t="s">
        <v>198</v>
      </c>
      <c r="D71" t="s">
        <v>18</v>
      </c>
      <c r="E71" s="1">
        <v>28501</v>
      </c>
      <c r="F71" s="1">
        <v>42889</v>
      </c>
      <c r="G71">
        <v>70</v>
      </c>
      <c r="H71" t="s">
        <v>75</v>
      </c>
      <c r="I71" t="s">
        <v>20</v>
      </c>
      <c r="J71" t="s">
        <v>21</v>
      </c>
      <c r="K71" t="s">
        <v>40</v>
      </c>
      <c r="L71" s="15">
        <v>11300</v>
      </c>
      <c r="M71" t="s">
        <v>32</v>
      </c>
      <c r="P71" t="s">
        <v>199</v>
      </c>
      <c r="Q71" t="str">
        <f>_xlfn.XLOOKUP(angajati__2[[#This Row],[id_departament]],departamente!A:A,departamente!B:B)</f>
        <v>Operațiuni</v>
      </c>
      <c r="R71">
        <f t="shared" si="3"/>
        <v>47</v>
      </c>
      <c r="S71">
        <f t="shared" si="4"/>
        <v>8.6</v>
      </c>
      <c r="T71" t="str" cm="1">
        <f t="array" ref="T71">_xlfn.IFS(
    S71&lt;1, "&lt; 1 an",
    S71&lt;3, "1–3 ani",
    S71&lt;5, "3–5 ani",
    S71&gt;=5, "&gt; 5 ani"
)</f>
        <v>&gt; 5 ani</v>
      </c>
      <c r="U71">
        <f t="shared" si="5"/>
        <v>0</v>
      </c>
    </row>
    <row r="72" spans="1:21" x14ac:dyDescent="0.3">
      <c r="A72">
        <v>1306</v>
      </c>
      <c r="B72" t="s">
        <v>89</v>
      </c>
      <c r="C72" t="s">
        <v>200</v>
      </c>
      <c r="D72" t="s">
        <v>18</v>
      </c>
      <c r="E72" s="1">
        <v>28272</v>
      </c>
      <c r="F72" s="1">
        <v>44691</v>
      </c>
      <c r="G72">
        <v>60</v>
      </c>
      <c r="H72" t="s">
        <v>78</v>
      </c>
      <c r="I72" t="s">
        <v>30</v>
      </c>
      <c r="J72" t="s">
        <v>52</v>
      </c>
      <c r="K72" t="s">
        <v>40</v>
      </c>
      <c r="L72" s="15">
        <v>4200</v>
      </c>
      <c r="M72" t="s">
        <v>32</v>
      </c>
      <c r="P72" t="s">
        <v>201</v>
      </c>
      <c r="Q72" t="str">
        <f>_xlfn.XLOOKUP(angajati__2[[#This Row],[id_departament]],departamente!A:A,departamente!B:B)</f>
        <v>Suport Clienți</v>
      </c>
      <c r="R72">
        <f t="shared" si="3"/>
        <v>48</v>
      </c>
      <c r="S72">
        <f t="shared" si="4"/>
        <v>3.6</v>
      </c>
      <c r="T72" t="str" cm="1">
        <f t="array" ref="T72">_xlfn.IFS(
    S72&lt;1, "&lt; 1 an",
    S72&lt;3, "1–3 ani",
    S72&lt;5, "3–5 ani",
    S72&gt;=5, "&gt; 5 ani"
)</f>
        <v>3–5 ani</v>
      </c>
      <c r="U72">
        <f t="shared" si="5"/>
        <v>0</v>
      </c>
    </row>
    <row r="73" spans="1:21" x14ac:dyDescent="0.3">
      <c r="A73">
        <v>1016</v>
      </c>
      <c r="B73" t="s">
        <v>26</v>
      </c>
      <c r="C73" t="s">
        <v>200</v>
      </c>
      <c r="D73" t="s">
        <v>18</v>
      </c>
      <c r="E73" s="1">
        <v>30991</v>
      </c>
      <c r="F73" s="1">
        <v>42609</v>
      </c>
      <c r="G73">
        <v>20</v>
      </c>
      <c r="H73" t="s">
        <v>68</v>
      </c>
      <c r="I73" t="s">
        <v>45</v>
      </c>
      <c r="J73" t="s">
        <v>21</v>
      </c>
      <c r="K73" t="s">
        <v>22</v>
      </c>
      <c r="L73" s="15">
        <v>3600</v>
      </c>
      <c r="M73" t="s">
        <v>32</v>
      </c>
      <c r="P73" t="s">
        <v>202</v>
      </c>
      <c r="Q73" t="str">
        <f>_xlfn.XLOOKUP(angajati__2[[#This Row],[id_departament]],departamente!A:A,departamente!B:B)</f>
        <v>Vânzări</v>
      </c>
      <c r="R73">
        <f t="shared" si="3"/>
        <v>41</v>
      </c>
      <c r="S73">
        <f t="shared" si="4"/>
        <v>9.3000000000000007</v>
      </c>
      <c r="T73" t="str" cm="1">
        <f t="array" ref="T73">_xlfn.IFS(
    S73&lt;1, "&lt; 1 an",
    S73&lt;3, "1–3 ani",
    S73&lt;5, "3–5 ani",
    S73&gt;=5, "&gt; 5 ani"
)</f>
        <v>&gt; 5 ani</v>
      </c>
      <c r="U73">
        <f t="shared" si="5"/>
        <v>0</v>
      </c>
    </row>
    <row r="74" spans="1:21" x14ac:dyDescent="0.3">
      <c r="A74">
        <v>1140</v>
      </c>
      <c r="B74" t="s">
        <v>64</v>
      </c>
      <c r="C74" t="s">
        <v>107</v>
      </c>
      <c r="D74" t="s">
        <v>37</v>
      </c>
      <c r="E74" s="1">
        <v>28514</v>
      </c>
      <c r="F74" s="1">
        <v>43602</v>
      </c>
      <c r="G74">
        <v>10</v>
      </c>
      <c r="H74" t="s">
        <v>44</v>
      </c>
      <c r="I74" t="s">
        <v>39</v>
      </c>
      <c r="J74" t="s">
        <v>21</v>
      </c>
      <c r="K74" t="s">
        <v>22</v>
      </c>
      <c r="L74" s="15">
        <v>14200</v>
      </c>
      <c r="M74" t="s">
        <v>23</v>
      </c>
      <c r="N74" s="1">
        <v>44615</v>
      </c>
      <c r="O74" t="s">
        <v>24</v>
      </c>
      <c r="P74" t="s">
        <v>203</v>
      </c>
      <c r="Q74" t="str">
        <f>_xlfn.XLOOKUP(angajati__2[[#This Row],[id_departament]],departamente!A:A,departamente!B:B)</f>
        <v>IT</v>
      </c>
      <c r="R74">
        <f t="shared" si="3"/>
        <v>47</v>
      </c>
      <c r="S74">
        <f t="shared" si="4"/>
        <v>2.8</v>
      </c>
      <c r="T74" t="str" cm="1">
        <f t="array" ref="T74">_xlfn.IFS(
    S74&lt;1, "&lt; 1 an",
    S74&lt;3, "1–3 ani",
    S74&lt;5, "3–5 ani",
    S74&gt;=5, "&gt; 5 ani"
)</f>
        <v>1–3 ani</v>
      </c>
      <c r="U74">
        <f t="shared" si="5"/>
        <v>1</v>
      </c>
    </row>
    <row r="75" spans="1:21" x14ac:dyDescent="0.3">
      <c r="A75">
        <v>1102</v>
      </c>
      <c r="B75" t="s">
        <v>204</v>
      </c>
      <c r="C75" t="s">
        <v>110</v>
      </c>
      <c r="D75" t="s">
        <v>37</v>
      </c>
      <c r="E75" s="1">
        <v>28018</v>
      </c>
      <c r="F75" s="1">
        <v>42736</v>
      </c>
      <c r="G75">
        <v>70</v>
      </c>
      <c r="H75" t="s">
        <v>38</v>
      </c>
      <c r="I75" t="s">
        <v>39</v>
      </c>
      <c r="J75" t="s">
        <v>31</v>
      </c>
      <c r="K75" t="s">
        <v>22</v>
      </c>
      <c r="L75" s="15">
        <v>8150</v>
      </c>
      <c r="M75" t="s">
        <v>32</v>
      </c>
      <c r="P75" t="s">
        <v>205</v>
      </c>
      <c r="Q75" t="str">
        <f>_xlfn.XLOOKUP(angajati__2[[#This Row],[id_departament]],departamente!A:A,departamente!B:B)</f>
        <v>Operațiuni</v>
      </c>
      <c r="R75">
        <f t="shared" si="3"/>
        <v>49</v>
      </c>
      <c r="S75">
        <f t="shared" si="4"/>
        <v>9</v>
      </c>
      <c r="T75" t="str" cm="1">
        <f t="array" ref="T75">_xlfn.IFS(
    S75&lt;1, "&lt; 1 an",
    S75&lt;3, "1–3 ani",
    S75&lt;5, "3–5 ani",
    S75&gt;=5, "&gt; 5 ani"
)</f>
        <v>&gt; 5 ani</v>
      </c>
      <c r="U75">
        <f t="shared" si="5"/>
        <v>0</v>
      </c>
    </row>
    <row r="76" spans="1:21" x14ac:dyDescent="0.3">
      <c r="A76">
        <v>1131</v>
      </c>
      <c r="B76" t="s">
        <v>164</v>
      </c>
      <c r="C76" t="s">
        <v>206</v>
      </c>
      <c r="D76" t="s">
        <v>18</v>
      </c>
      <c r="E76" s="1">
        <v>33065</v>
      </c>
      <c r="F76" s="1">
        <v>43124</v>
      </c>
      <c r="G76">
        <v>70</v>
      </c>
      <c r="H76" t="s">
        <v>38</v>
      </c>
      <c r="I76" t="s">
        <v>45</v>
      </c>
      <c r="J76" t="s">
        <v>31</v>
      </c>
      <c r="K76" t="s">
        <v>22</v>
      </c>
      <c r="L76" s="15">
        <v>3650</v>
      </c>
      <c r="M76" t="s">
        <v>32</v>
      </c>
      <c r="P76" t="s">
        <v>207</v>
      </c>
      <c r="Q76" t="str">
        <f>_xlfn.XLOOKUP(angajati__2[[#This Row],[id_departament]],departamente!A:A,departamente!B:B)</f>
        <v>Operațiuni</v>
      </c>
      <c r="R76">
        <f t="shared" si="3"/>
        <v>35</v>
      </c>
      <c r="S76">
        <f t="shared" si="4"/>
        <v>7.9</v>
      </c>
      <c r="T76" t="str" cm="1">
        <f t="array" ref="T76">_xlfn.IFS(
    S76&lt;1, "&lt; 1 an",
    S76&lt;3, "1–3 ani",
    S76&lt;5, "3–5 ani",
    S76&gt;=5, "&gt; 5 ani"
)</f>
        <v>&gt; 5 ani</v>
      </c>
      <c r="U76">
        <f t="shared" si="5"/>
        <v>0</v>
      </c>
    </row>
    <row r="77" spans="1:21" x14ac:dyDescent="0.3">
      <c r="A77">
        <v>1359</v>
      </c>
      <c r="B77" t="s">
        <v>150</v>
      </c>
      <c r="C77" t="s">
        <v>163</v>
      </c>
      <c r="D77" t="s">
        <v>18</v>
      </c>
      <c r="E77" s="1">
        <v>35457</v>
      </c>
      <c r="F77" s="1">
        <v>42858</v>
      </c>
      <c r="G77">
        <v>10</v>
      </c>
      <c r="H77" t="s">
        <v>87</v>
      </c>
      <c r="I77" t="s">
        <v>45</v>
      </c>
      <c r="J77" t="s">
        <v>21</v>
      </c>
      <c r="K77" t="s">
        <v>22</v>
      </c>
      <c r="L77" s="15">
        <v>6400</v>
      </c>
      <c r="M77" t="s">
        <v>32</v>
      </c>
      <c r="P77" t="s">
        <v>208</v>
      </c>
      <c r="Q77" t="str">
        <f>_xlfn.XLOOKUP(angajati__2[[#This Row],[id_departament]],departamente!A:A,departamente!B:B)</f>
        <v>IT</v>
      </c>
      <c r="R77">
        <f t="shared" si="3"/>
        <v>28</v>
      </c>
      <c r="S77">
        <f t="shared" si="4"/>
        <v>8.6999999999999993</v>
      </c>
      <c r="T77" t="str" cm="1">
        <f t="array" ref="T77">_xlfn.IFS(
    S77&lt;1, "&lt; 1 an",
    S77&lt;3, "1–3 ani",
    S77&lt;5, "3–5 ani",
    S77&gt;=5, "&gt; 5 ani"
)</f>
        <v>&gt; 5 ani</v>
      </c>
      <c r="U77">
        <f t="shared" si="5"/>
        <v>0</v>
      </c>
    </row>
    <row r="78" spans="1:21" x14ac:dyDescent="0.3">
      <c r="A78">
        <v>1068</v>
      </c>
      <c r="B78" t="s">
        <v>100</v>
      </c>
      <c r="C78" t="s">
        <v>171</v>
      </c>
      <c r="D78" t="s">
        <v>18</v>
      </c>
      <c r="E78" s="1">
        <v>30240</v>
      </c>
      <c r="F78" s="1">
        <v>44255</v>
      </c>
      <c r="G78">
        <v>30</v>
      </c>
      <c r="H78" t="s">
        <v>209</v>
      </c>
      <c r="I78" t="s">
        <v>30</v>
      </c>
      <c r="J78" t="s">
        <v>21</v>
      </c>
      <c r="K78" t="s">
        <v>22</v>
      </c>
      <c r="L78" s="15">
        <v>5750</v>
      </c>
      <c r="M78" t="s">
        <v>32</v>
      </c>
      <c r="P78" t="s">
        <v>210</v>
      </c>
      <c r="Q78" t="str">
        <f>_xlfn.XLOOKUP(angajati__2[[#This Row],[id_departament]],departamente!A:A,departamente!B:B)</f>
        <v>Marketing</v>
      </c>
      <c r="R78">
        <f t="shared" si="3"/>
        <v>43</v>
      </c>
      <c r="S78">
        <f t="shared" si="4"/>
        <v>4.8</v>
      </c>
      <c r="T78" t="str" cm="1">
        <f t="array" ref="T78">_xlfn.IFS(
    S78&lt;1, "&lt; 1 an",
    S78&lt;3, "1–3 ani",
    S78&lt;5, "3–5 ani",
    S78&gt;=5, "&gt; 5 ani"
)</f>
        <v>3–5 ani</v>
      </c>
      <c r="U78">
        <f t="shared" si="5"/>
        <v>0</v>
      </c>
    </row>
    <row r="79" spans="1:21" x14ac:dyDescent="0.3">
      <c r="A79">
        <v>1204</v>
      </c>
      <c r="B79" t="s">
        <v>100</v>
      </c>
      <c r="C79" t="s">
        <v>74</v>
      </c>
      <c r="D79" t="s">
        <v>18</v>
      </c>
      <c r="E79" s="1">
        <v>35846</v>
      </c>
      <c r="F79" s="1">
        <v>43855</v>
      </c>
      <c r="G79">
        <v>30</v>
      </c>
      <c r="H79" t="s">
        <v>56</v>
      </c>
      <c r="I79" t="s">
        <v>45</v>
      </c>
      <c r="J79" t="s">
        <v>46</v>
      </c>
      <c r="K79" t="s">
        <v>22</v>
      </c>
      <c r="L79" s="15">
        <v>3550</v>
      </c>
      <c r="M79" t="s">
        <v>23</v>
      </c>
      <c r="N79" s="1">
        <v>44428</v>
      </c>
      <c r="O79" t="s">
        <v>24</v>
      </c>
      <c r="P79" t="s">
        <v>211</v>
      </c>
      <c r="Q79" t="str">
        <f>_xlfn.XLOOKUP(angajati__2[[#This Row],[id_departament]],departamente!A:A,departamente!B:B)</f>
        <v>Marketing</v>
      </c>
      <c r="R79">
        <f t="shared" si="3"/>
        <v>27</v>
      </c>
      <c r="S79">
        <f t="shared" si="4"/>
        <v>1.6</v>
      </c>
      <c r="T79" t="str" cm="1">
        <f t="array" ref="T79">_xlfn.IFS(
    S79&lt;1, "&lt; 1 an",
    S79&lt;3, "1–3 ani",
    S79&lt;5, "3–5 ani",
    S79&gt;=5, "&gt; 5 ani"
)</f>
        <v>1–3 ani</v>
      </c>
      <c r="U79">
        <f t="shared" si="5"/>
        <v>1</v>
      </c>
    </row>
    <row r="80" spans="1:21" x14ac:dyDescent="0.3">
      <c r="A80">
        <v>1452</v>
      </c>
      <c r="B80" t="s">
        <v>112</v>
      </c>
      <c r="C80" t="s">
        <v>119</v>
      </c>
      <c r="D80" t="s">
        <v>18</v>
      </c>
      <c r="E80" s="1">
        <v>34243</v>
      </c>
      <c r="F80" s="1">
        <v>42589</v>
      </c>
      <c r="G80">
        <v>10</v>
      </c>
      <c r="H80" t="s">
        <v>44</v>
      </c>
      <c r="I80" t="s">
        <v>39</v>
      </c>
      <c r="J80" t="s">
        <v>21</v>
      </c>
      <c r="K80" t="s">
        <v>22</v>
      </c>
      <c r="L80" s="15">
        <v>12650</v>
      </c>
      <c r="M80" t="s">
        <v>32</v>
      </c>
      <c r="Q80" t="str">
        <f>_xlfn.XLOOKUP(angajati__2[[#This Row],[id_departament]],departamente!A:A,departamente!B:B)</f>
        <v>IT</v>
      </c>
      <c r="R80">
        <f t="shared" si="3"/>
        <v>32</v>
      </c>
      <c r="S80">
        <f t="shared" si="4"/>
        <v>9.4</v>
      </c>
      <c r="T80" t="str" cm="1">
        <f t="array" ref="T80">_xlfn.IFS(
    S80&lt;1, "&lt; 1 an",
    S80&lt;3, "1–3 ani",
    S80&lt;5, "3–5 ani",
    S80&gt;=5, "&gt; 5 ani"
)</f>
        <v>&gt; 5 ani</v>
      </c>
      <c r="U80">
        <f t="shared" si="5"/>
        <v>0</v>
      </c>
    </row>
    <row r="81" spans="1:21" x14ac:dyDescent="0.3">
      <c r="A81">
        <v>1454</v>
      </c>
      <c r="B81" t="s">
        <v>100</v>
      </c>
      <c r="C81" t="s">
        <v>163</v>
      </c>
      <c r="D81" t="s">
        <v>18</v>
      </c>
      <c r="E81" s="1">
        <v>32950</v>
      </c>
      <c r="F81" s="1">
        <v>45601</v>
      </c>
      <c r="G81">
        <v>50</v>
      </c>
      <c r="H81" t="s">
        <v>123</v>
      </c>
      <c r="I81" t="s">
        <v>45</v>
      </c>
      <c r="J81" t="s">
        <v>52</v>
      </c>
      <c r="K81" t="s">
        <v>22</v>
      </c>
      <c r="L81" s="15">
        <v>4150</v>
      </c>
      <c r="M81" t="s">
        <v>23</v>
      </c>
      <c r="N81" s="1">
        <v>45786</v>
      </c>
      <c r="O81" t="s">
        <v>186</v>
      </c>
      <c r="P81" t="s">
        <v>212</v>
      </c>
      <c r="Q81" t="str">
        <f>_xlfn.XLOOKUP(angajati__2[[#This Row],[id_departament]],departamente!A:A,departamente!B:B)</f>
        <v>Financiar</v>
      </c>
      <c r="R81">
        <f t="shared" si="3"/>
        <v>35</v>
      </c>
      <c r="S81">
        <f t="shared" si="4"/>
        <v>0.5</v>
      </c>
      <c r="T81" t="str" cm="1">
        <f t="array" ref="T81">_xlfn.IFS(
    S81&lt;1, "&lt; 1 an",
    S81&lt;3, "1–3 ani",
    S81&lt;5, "3–5 ani",
    S81&gt;=5, "&gt; 5 ani"
)</f>
        <v>&lt; 1 an</v>
      </c>
      <c r="U81">
        <f t="shared" si="5"/>
        <v>1</v>
      </c>
    </row>
    <row r="82" spans="1:21" x14ac:dyDescent="0.3">
      <c r="A82">
        <v>1180</v>
      </c>
      <c r="B82" t="s">
        <v>70</v>
      </c>
      <c r="C82" t="s">
        <v>213</v>
      </c>
      <c r="D82" t="s">
        <v>18</v>
      </c>
      <c r="E82" s="1">
        <v>33567</v>
      </c>
      <c r="F82" s="1">
        <v>43843</v>
      </c>
      <c r="G82">
        <v>30</v>
      </c>
      <c r="H82" t="s">
        <v>209</v>
      </c>
      <c r="I82" t="s">
        <v>45</v>
      </c>
      <c r="J82" t="s">
        <v>46</v>
      </c>
      <c r="K82" t="s">
        <v>22</v>
      </c>
      <c r="L82" s="15">
        <v>4250</v>
      </c>
      <c r="M82" t="s">
        <v>32</v>
      </c>
      <c r="P82" t="s">
        <v>215</v>
      </c>
      <c r="Q82" t="str">
        <f>_xlfn.XLOOKUP(angajati__2[[#This Row],[id_departament]],departamente!A:A,departamente!B:B)</f>
        <v>Marketing</v>
      </c>
      <c r="R82">
        <f t="shared" si="3"/>
        <v>34</v>
      </c>
      <c r="S82">
        <f t="shared" si="4"/>
        <v>6</v>
      </c>
      <c r="T82" t="str" cm="1">
        <f t="array" ref="T82">_xlfn.IFS(
    S82&lt;1, "&lt; 1 an",
    S82&lt;3, "1–3 ani",
    S82&lt;5, "3–5 ani",
    S82&gt;=5, "&gt; 5 ani"
)</f>
        <v>&gt; 5 ani</v>
      </c>
      <c r="U82">
        <f t="shared" si="5"/>
        <v>0</v>
      </c>
    </row>
    <row r="83" spans="1:21" x14ac:dyDescent="0.3">
      <c r="A83">
        <v>1302</v>
      </c>
      <c r="B83" t="s">
        <v>58</v>
      </c>
      <c r="C83" t="s">
        <v>216</v>
      </c>
      <c r="D83" t="s">
        <v>18</v>
      </c>
      <c r="E83" s="1">
        <v>31678</v>
      </c>
      <c r="F83" s="1">
        <v>42896</v>
      </c>
      <c r="G83">
        <v>40</v>
      </c>
      <c r="H83" t="s">
        <v>101</v>
      </c>
      <c r="I83" t="s">
        <v>39</v>
      </c>
      <c r="J83" t="s">
        <v>21</v>
      </c>
      <c r="K83" t="s">
        <v>22</v>
      </c>
      <c r="L83" s="15">
        <v>8350</v>
      </c>
      <c r="M83" t="s">
        <v>32</v>
      </c>
      <c r="P83" t="s">
        <v>217</v>
      </c>
      <c r="Q83" t="str">
        <f>_xlfn.XLOOKUP(angajati__2[[#This Row],[id_departament]],departamente!A:A,departamente!B:B)</f>
        <v>Resurse Umane</v>
      </c>
      <c r="R83">
        <f t="shared" si="3"/>
        <v>39</v>
      </c>
      <c r="S83">
        <f t="shared" si="4"/>
        <v>8.6</v>
      </c>
      <c r="T83" t="str" cm="1">
        <f t="array" ref="T83">_xlfn.IFS(
    S83&lt;1, "&lt; 1 an",
    S83&lt;3, "1–3 ani",
    S83&lt;5, "3–5 ani",
    S83&gt;=5, "&gt; 5 ani"
)</f>
        <v>&gt; 5 ani</v>
      </c>
      <c r="U83">
        <f t="shared" si="5"/>
        <v>0</v>
      </c>
    </row>
    <row r="84" spans="1:21" x14ac:dyDescent="0.3">
      <c r="A84">
        <v>1108</v>
      </c>
      <c r="B84" t="s">
        <v>42</v>
      </c>
      <c r="C84" t="s">
        <v>144</v>
      </c>
      <c r="D84" t="s">
        <v>37</v>
      </c>
      <c r="E84" s="1">
        <v>31864</v>
      </c>
      <c r="F84" s="1">
        <v>43130</v>
      </c>
      <c r="G84">
        <v>60</v>
      </c>
      <c r="H84" t="s">
        <v>78</v>
      </c>
      <c r="I84" t="s">
        <v>30</v>
      </c>
      <c r="J84" t="s">
        <v>21</v>
      </c>
      <c r="K84" t="s">
        <v>22</v>
      </c>
      <c r="L84" s="15">
        <v>3550</v>
      </c>
      <c r="M84" t="s">
        <v>32</v>
      </c>
      <c r="P84" t="s">
        <v>220</v>
      </c>
      <c r="Q84" t="str">
        <f>_xlfn.XLOOKUP(angajati__2[[#This Row],[id_departament]],departamente!A:A,departamente!B:B)</f>
        <v>Suport Clienți</v>
      </c>
      <c r="R84">
        <f t="shared" si="3"/>
        <v>38</v>
      </c>
      <c r="S84">
        <f t="shared" si="4"/>
        <v>7.9</v>
      </c>
      <c r="T84" t="str" cm="1">
        <f t="array" ref="T84">_xlfn.IFS(
    S84&lt;1, "&lt; 1 an",
    S84&lt;3, "1–3 ani",
    S84&lt;5, "3–5 ani",
    S84&gt;=5, "&gt; 5 ani"
)</f>
        <v>&gt; 5 ani</v>
      </c>
      <c r="U84">
        <f t="shared" si="5"/>
        <v>0</v>
      </c>
    </row>
    <row r="85" spans="1:21" x14ac:dyDescent="0.3">
      <c r="A85">
        <v>1103</v>
      </c>
      <c r="B85" t="s">
        <v>147</v>
      </c>
      <c r="C85" t="s">
        <v>171</v>
      </c>
      <c r="D85" t="s">
        <v>18</v>
      </c>
      <c r="E85" s="1">
        <v>31937</v>
      </c>
      <c r="F85" s="1">
        <v>45834</v>
      </c>
      <c r="G85">
        <v>10</v>
      </c>
      <c r="H85" t="s">
        <v>108</v>
      </c>
      <c r="I85" t="s">
        <v>30</v>
      </c>
      <c r="J85" t="s">
        <v>21</v>
      </c>
      <c r="K85" t="s">
        <v>22</v>
      </c>
      <c r="L85" s="15">
        <v>8800</v>
      </c>
      <c r="M85" t="s">
        <v>23</v>
      </c>
      <c r="N85" s="1">
        <v>46019</v>
      </c>
      <c r="O85" t="s">
        <v>105</v>
      </c>
      <c r="P85" t="s">
        <v>222</v>
      </c>
      <c r="Q85" t="str">
        <f>_xlfn.XLOOKUP(angajati__2[[#This Row],[id_departament]],departamente!A:A,departamente!B:B)</f>
        <v>IT</v>
      </c>
      <c r="R85">
        <f t="shared" si="3"/>
        <v>38</v>
      </c>
      <c r="S85">
        <f t="shared" si="4"/>
        <v>0.5</v>
      </c>
      <c r="T85" t="str" cm="1">
        <f t="array" ref="T85">_xlfn.IFS(
    S85&lt;1, "&lt; 1 an",
    S85&lt;3, "1–3 ani",
    S85&lt;5, "3–5 ani",
    S85&gt;=5, "&gt; 5 ani"
)</f>
        <v>&lt; 1 an</v>
      </c>
      <c r="U85">
        <f t="shared" si="5"/>
        <v>1</v>
      </c>
    </row>
    <row r="86" spans="1:21" x14ac:dyDescent="0.3">
      <c r="A86">
        <v>1147</v>
      </c>
      <c r="B86" t="s">
        <v>164</v>
      </c>
      <c r="C86" t="s">
        <v>65</v>
      </c>
      <c r="D86" t="s">
        <v>18</v>
      </c>
      <c r="E86" s="1">
        <v>31316</v>
      </c>
      <c r="F86" s="1">
        <v>42662</v>
      </c>
      <c r="G86">
        <v>40</v>
      </c>
      <c r="H86" t="s">
        <v>120</v>
      </c>
      <c r="I86" t="s">
        <v>30</v>
      </c>
      <c r="J86" t="s">
        <v>21</v>
      </c>
      <c r="K86" t="s">
        <v>22</v>
      </c>
      <c r="L86" s="15">
        <v>4850</v>
      </c>
      <c r="M86" t="s">
        <v>32</v>
      </c>
      <c r="P86" t="s">
        <v>223</v>
      </c>
      <c r="Q86" t="str">
        <f>_xlfn.XLOOKUP(angajati__2[[#This Row],[id_departament]],departamente!A:A,departamente!B:B)</f>
        <v>Resurse Umane</v>
      </c>
      <c r="R86">
        <f t="shared" si="3"/>
        <v>40</v>
      </c>
      <c r="S86">
        <f t="shared" si="4"/>
        <v>9.1999999999999993</v>
      </c>
      <c r="T86" t="str" cm="1">
        <f t="array" ref="T86">_xlfn.IFS(
    S86&lt;1, "&lt; 1 an",
    S86&lt;3, "1–3 ani",
    S86&lt;5, "3–5 ani",
    S86&gt;=5, "&gt; 5 ani"
)</f>
        <v>&gt; 5 ani</v>
      </c>
      <c r="U86">
        <f t="shared" si="5"/>
        <v>0</v>
      </c>
    </row>
    <row r="87" spans="1:21" x14ac:dyDescent="0.3">
      <c r="A87">
        <v>1297</v>
      </c>
      <c r="B87" t="s">
        <v>115</v>
      </c>
      <c r="C87" t="s">
        <v>224</v>
      </c>
      <c r="D87" t="s">
        <v>37</v>
      </c>
      <c r="E87" s="1">
        <v>29038</v>
      </c>
      <c r="F87" s="1">
        <v>44757</v>
      </c>
      <c r="G87">
        <v>10</v>
      </c>
      <c r="H87" t="s">
        <v>49</v>
      </c>
      <c r="I87" t="s">
        <v>30</v>
      </c>
      <c r="J87" t="s">
        <v>31</v>
      </c>
      <c r="K87" t="s">
        <v>22</v>
      </c>
      <c r="L87" s="15">
        <v>7300</v>
      </c>
      <c r="M87" t="s">
        <v>32</v>
      </c>
      <c r="P87" t="s">
        <v>225</v>
      </c>
      <c r="Q87" t="str">
        <f>_xlfn.XLOOKUP(angajati__2[[#This Row],[id_departament]],departamente!A:A,departamente!B:B)</f>
        <v>IT</v>
      </c>
      <c r="R87">
        <f t="shared" si="3"/>
        <v>46</v>
      </c>
      <c r="S87">
        <f t="shared" si="4"/>
        <v>3.5</v>
      </c>
      <c r="T87" t="str" cm="1">
        <f t="array" ref="T87">_xlfn.IFS(
    S87&lt;1, "&lt; 1 an",
    S87&lt;3, "1–3 ani",
    S87&lt;5, "3–5 ani",
    S87&gt;=5, "&gt; 5 ani"
)</f>
        <v>3–5 ani</v>
      </c>
      <c r="U87">
        <f t="shared" si="5"/>
        <v>0</v>
      </c>
    </row>
    <row r="88" spans="1:21" x14ac:dyDescent="0.3">
      <c r="A88">
        <v>1100</v>
      </c>
      <c r="B88" t="s">
        <v>134</v>
      </c>
      <c r="C88" t="s">
        <v>36</v>
      </c>
      <c r="D88" t="s">
        <v>37</v>
      </c>
      <c r="E88" s="1">
        <v>35674</v>
      </c>
      <c r="F88" s="1">
        <v>44443</v>
      </c>
      <c r="G88">
        <v>10</v>
      </c>
      <c r="H88" t="s">
        <v>87</v>
      </c>
      <c r="I88" t="s">
        <v>45</v>
      </c>
      <c r="J88" t="s">
        <v>21</v>
      </c>
      <c r="K88" t="s">
        <v>22</v>
      </c>
      <c r="L88" s="15">
        <v>5650</v>
      </c>
      <c r="M88" t="s">
        <v>32</v>
      </c>
      <c r="P88" t="s">
        <v>226</v>
      </c>
      <c r="Q88" t="str">
        <f>_xlfn.XLOOKUP(angajati__2[[#This Row],[id_departament]],departamente!A:A,departamente!B:B)</f>
        <v>IT</v>
      </c>
      <c r="R88">
        <f t="shared" si="3"/>
        <v>28</v>
      </c>
      <c r="S88">
        <f t="shared" si="4"/>
        <v>4.3</v>
      </c>
      <c r="T88" t="str" cm="1">
        <f t="array" ref="T88">_xlfn.IFS(
    S88&lt;1, "&lt; 1 an",
    S88&lt;3, "1–3 ani",
    S88&lt;5, "3–5 ani",
    S88&gt;=5, "&gt; 5 ani"
)</f>
        <v>3–5 ani</v>
      </c>
      <c r="U88">
        <f t="shared" si="5"/>
        <v>0</v>
      </c>
    </row>
    <row r="89" spans="1:21" x14ac:dyDescent="0.3">
      <c r="A89">
        <v>1445</v>
      </c>
      <c r="B89" t="s">
        <v>164</v>
      </c>
      <c r="C89" t="s">
        <v>171</v>
      </c>
      <c r="D89" t="s">
        <v>18</v>
      </c>
      <c r="E89" s="1">
        <v>31305</v>
      </c>
      <c r="F89" s="1">
        <v>42876</v>
      </c>
      <c r="G89">
        <v>70</v>
      </c>
      <c r="H89" t="s">
        <v>38</v>
      </c>
      <c r="I89" t="s">
        <v>30</v>
      </c>
      <c r="J89" t="s">
        <v>31</v>
      </c>
      <c r="K89" t="s">
        <v>22</v>
      </c>
      <c r="L89" s="15">
        <v>5200</v>
      </c>
      <c r="M89" t="s">
        <v>32</v>
      </c>
      <c r="P89" t="s">
        <v>227</v>
      </c>
      <c r="Q89" t="str">
        <f>_xlfn.XLOOKUP(angajati__2[[#This Row],[id_departament]],departamente!A:A,departamente!B:B)</f>
        <v>Operațiuni</v>
      </c>
      <c r="R89">
        <f t="shared" si="3"/>
        <v>40</v>
      </c>
      <c r="S89">
        <f t="shared" si="4"/>
        <v>8.6</v>
      </c>
      <c r="T89" t="str" cm="1">
        <f t="array" ref="T89">_xlfn.IFS(
    S89&lt;1, "&lt; 1 an",
    S89&lt;3, "1–3 ani",
    S89&lt;5, "3–5 ani",
    S89&gt;=5, "&gt; 5 ani"
)</f>
        <v>&gt; 5 ani</v>
      </c>
      <c r="U89">
        <f t="shared" si="5"/>
        <v>0</v>
      </c>
    </row>
    <row r="90" spans="1:21" x14ac:dyDescent="0.3">
      <c r="A90">
        <v>1178</v>
      </c>
      <c r="B90" t="s">
        <v>67</v>
      </c>
      <c r="C90" t="s">
        <v>194</v>
      </c>
      <c r="D90" t="s">
        <v>37</v>
      </c>
      <c r="E90" s="1">
        <v>33281</v>
      </c>
      <c r="F90" s="1">
        <v>43285</v>
      </c>
      <c r="G90">
        <v>40</v>
      </c>
      <c r="H90" t="s">
        <v>120</v>
      </c>
      <c r="I90" t="s">
        <v>30</v>
      </c>
      <c r="J90" t="s">
        <v>21</v>
      </c>
      <c r="K90" t="s">
        <v>22</v>
      </c>
      <c r="L90" s="15">
        <v>5950</v>
      </c>
      <c r="M90" t="s">
        <v>32</v>
      </c>
      <c r="P90" t="s">
        <v>229</v>
      </c>
      <c r="Q90" t="str">
        <f>_xlfn.XLOOKUP(angajati__2[[#This Row],[id_departament]],departamente!A:A,departamente!B:B)</f>
        <v>Resurse Umane</v>
      </c>
      <c r="R90">
        <f t="shared" si="3"/>
        <v>34</v>
      </c>
      <c r="S90">
        <f t="shared" si="4"/>
        <v>7.5</v>
      </c>
      <c r="T90" t="str" cm="1">
        <f t="array" ref="T90">_xlfn.IFS(
    S90&lt;1, "&lt; 1 an",
    S90&lt;3, "1–3 ani",
    S90&lt;5, "3–5 ani",
    S90&gt;=5, "&gt; 5 ani"
)</f>
        <v>&gt; 5 ani</v>
      </c>
      <c r="U90">
        <f t="shared" si="5"/>
        <v>0</v>
      </c>
    </row>
    <row r="91" spans="1:21" x14ac:dyDescent="0.3">
      <c r="A91">
        <v>1256</v>
      </c>
      <c r="B91" t="s">
        <v>112</v>
      </c>
      <c r="C91" t="s">
        <v>113</v>
      </c>
      <c r="D91" t="s">
        <v>37</v>
      </c>
      <c r="E91" s="1">
        <v>35066</v>
      </c>
      <c r="F91" s="1">
        <v>44079</v>
      </c>
      <c r="G91">
        <v>10</v>
      </c>
      <c r="H91" t="s">
        <v>108</v>
      </c>
      <c r="I91" t="s">
        <v>45</v>
      </c>
      <c r="J91" t="s">
        <v>21</v>
      </c>
      <c r="K91" t="s">
        <v>22</v>
      </c>
      <c r="L91" s="15">
        <v>5950</v>
      </c>
      <c r="M91" t="s">
        <v>32</v>
      </c>
      <c r="P91" t="s">
        <v>230</v>
      </c>
      <c r="Q91" t="str">
        <f>_xlfn.XLOOKUP(angajati__2[[#This Row],[id_departament]],departamente!A:A,departamente!B:B)</f>
        <v>IT</v>
      </c>
      <c r="R91">
        <f t="shared" si="3"/>
        <v>29</v>
      </c>
      <c r="S91">
        <f t="shared" si="4"/>
        <v>5.3</v>
      </c>
      <c r="T91" t="str" cm="1">
        <f t="array" ref="T91">_xlfn.IFS(
    S91&lt;1, "&lt; 1 an",
    S91&lt;3, "1–3 ani",
    S91&lt;5, "3–5 ani",
    S91&gt;=5, "&gt; 5 ani"
)</f>
        <v>&gt; 5 ani</v>
      </c>
      <c r="U91">
        <f t="shared" si="5"/>
        <v>0</v>
      </c>
    </row>
    <row r="92" spans="1:21" x14ac:dyDescent="0.3">
      <c r="A92">
        <v>1285</v>
      </c>
      <c r="B92" t="s">
        <v>134</v>
      </c>
      <c r="C92" t="s">
        <v>103</v>
      </c>
      <c r="D92" t="s">
        <v>37</v>
      </c>
      <c r="E92" s="1">
        <v>29014</v>
      </c>
      <c r="F92" s="1">
        <v>44534</v>
      </c>
      <c r="G92">
        <v>40</v>
      </c>
      <c r="H92" t="s">
        <v>101</v>
      </c>
      <c r="I92" t="s">
        <v>39</v>
      </c>
      <c r="J92" t="s">
        <v>31</v>
      </c>
      <c r="K92" t="s">
        <v>22</v>
      </c>
      <c r="L92" s="15">
        <v>10000</v>
      </c>
      <c r="M92" t="s">
        <v>32</v>
      </c>
      <c r="P92" t="s">
        <v>231</v>
      </c>
      <c r="Q92" t="str">
        <f>_xlfn.XLOOKUP(angajati__2[[#This Row],[id_departament]],departamente!A:A,departamente!B:B)</f>
        <v>Resurse Umane</v>
      </c>
      <c r="R92">
        <f t="shared" si="3"/>
        <v>46</v>
      </c>
      <c r="S92">
        <f t="shared" si="4"/>
        <v>4.0999999999999996</v>
      </c>
      <c r="T92" t="str" cm="1">
        <f t="array" ref="T92">_xlfn.IFS(
    S92&lt;1, "&lt; 1 an",
    S92&lt;3, "1–3 ani",
    S92&lt;5, "3–5 ani",
    S92&gt;=5, "&gt; 5 ani"
)</f>
        <v>3–5 ani</v>
      </c>
      <c r="U92">
        <f t="shared" si="5"/>
        <v>0</v>
      </c>
    </row>
    <row r="93" spans="1:21" x14ac:dyDescent="0.3">
      <c r="A93">
        <v>1190</v>
      </c>
      <c r="B93" t="s">
        <v>64</v>
      </c>
      <c r="C93" t="s">
        <v>224</v>
      </c>
      <c r="D93" t="s">
        <v>37</v>
      </c>
      <c r="E93" s="1">
        <v>35058</v>
      </c>
      <c r="F93" s="1">
        <v>42375</v>
      </c>
      <c r="G93">
        <v>20</v>
      </c>
      <c r="H93" t="s">
        <v>104</v>
      </c>
      <c r="I93" t="s">
        <v>39</v>
      </c>
      <c r="J93" t="s">
        <v>21</v>
      </c>
      <c r="K93" t="s">
        <v>22</v>
      </c>
      <c r="L93" s="15">
        <v>7400</v>
      </c>
      <c r="M93" t="s">
        <v>23</v>
      </c>
      <c r="N93" s="1">
        <v>44137</v>
      </c>
      <c r="O93" t="s">
        <v>117</v>
      </c>
      <c r="P93" t="s">
        <v>232</v>
      </c>
      <c r="Q93" t="str">
        <f>_xlfn.XLOOKUP(angajati__2[[#This Row],[id_departament]],departamente!A:A,departamente!B:B)</f>
        <v>Vânzări</v>
      </c>
      <c r="R93">
        <f t="shared" si="3"/>
        <v>30</v>
      </c>
      <c r="S93">
        <f t="shared" si="4"/>
        <v>4.8</v>
      </c>
      <c r="T93" t="str" cm="1">
        <f t="array" ref="T93">_xlfn.IFS(
    S93&lt;1, "&lt; 1 an",
    S93&lt;3, "1–3 ani",
    S93&lt;5, "3–5 ani",
    S93&gt;=5, "&gt; 5 ani"
)</f>
        <v>3–5 ani</v>
      </c>
      <c r="U93">
        <f t="shared" si="5"/>
        <v>1</v>
      </c>
    </row>
    <row r="94" spans="1:21" x14ac:dyDescent="0.3">
      <c r="A94">
        <v>1377</v>
      </c>
      <c r="B94" t="s">
        <v>204</v>
      </c>
      <c r="C94" t="s">
        <v>330</v>
      </c>
      <c r="D94" t="s">
        <v>37</v>
      </c>
      <c r="E94" s="1">
        <v>34052</v>
      </c>
      <c r="F94" s="1">
        <v>45374</v>
      </c>
      <c r="G94">
        <v>10</v>
      </c>
      <c r="H94" t="s">
        <v>108</v>
      </c>
      <c r="I94" t="s">
        <v>45</v>
      </c>
      <c r="J94" t="s">
        <v>21</v>
      </c>
      <c r="K94" t="s">
        <v>22</v>
      </c>
      <c r="L94" s="15">
        <v>6650</v>
      </c>
      <c r="M94" t="s">
        <v>23</v>
      </c>
      <c r="N94" s="1">
        <v>46018</v>
      </c>
      <c r="O94" t="s">
        <v>105</v>
      </c>
      <c r="P94" t="s">
        <v>234</v>
      </c>
      <c r="Q94" t="str">
        <f>_xlfn.XLOOKUP(angajati__2[[#This Row],[id_departament]],departamente!A:A,departamente!B:B)</f>
        <v>IT</v>
      </c>
      <c r="R94">
        <f t="shared" si="3"/>
        <v>32</v>
      </c>
      <c r="S94">
        <f t="shared" si="4"/>
        <v>1.8</v>
      </c>
      <c r="T94" t="str" cm="1">
        <f t="array" ref="T94">_xlfn.IFS(
    S94&lt;1, "&lt; 1 an",
    S94&lt;3, "1–3 ani",
    S94&lt;5, "3–5 ani",
    S94&gt;=5, "&gt; 5 ani"
)</f>
        <v>1–3 ani</v>
      </c>
      <c r="U94">
        <f t="shared" si="5"/>
        <v>1</v>
      </c>
    </row>
    <row r="95" spans="1:21" x14ac:dyDescent="0.3">
      <c r="A95">
        <v>1314</v>
      </c>
      <c r="B95" t="s">
        <v>80</v>
      </c>
      <c r="C95" t="s">
        <v>103</v>
      </c>
      <c r="D95" t="s">
        <v>37</v>
      </c>
      <c r="E95" s="1">
        <v>32550</v>
      </c>
      <c r="F95" s="1">
        <v>44739</v>
      </c>
      <c r="G95">
        <v>20</v>
      </c>
      <c r="H95" t="s">
        <v>104</v>
      </c>
      <c r="I95" t="s">
        <v>30</v>
      </c>
      <c r="J95" t="s">
        <v>21</v>
      </c>
      <c r="K95" t="s">
        <v>22</v>
      </c>
      <c r="L95" s="15">
        <v>5000</v>
      </c>
      <c r="M95" t="s">
        <v>23</v>
      </c>
      <c r="N95" s="1">
        <v>45014</v>
      </c>
      <c r="O95" t="s">
        <v>105</v>
      </c>
      <c r="P95" t="s">
        <v>235</v>
      </c>
      <c r="Q95" t="str">
        <f>_xlfn.XLOOKUP(angajati__2[[#This Row],[id_departament]],departamente!A:A,departamente!B:B)</f>
        <v>Vânzări</v>
      </c>
      <c r="R95">
        <f t="shared" si="3"/>
        <v>36</v>
      </c>
      <c r="S95">
        <f t="shared" si="4"/>
        <v>0.8</v>
      </c>
      <c r="T95" t="str" cm="1">
        <f t="array" ref="T95">_xlfn.IFS(
    S95&lt;1, "&lt; 1 an",
    S95&lt;3, "1–3 ani",
    S95&lt;5, "3–5 ani",
    S95&gt;=5, "&gt; 5 ani"
)</f>
        <v>&lt; 1 an</v>
      </c>
      <c r="U95">
        <f t="shared" si="5"/>
        <v>1</v>
      </c>
    </row>
    <row r="96" spans="1:21" x14ac:dyDescent="0.3">
      <c r="A96">
        <v>1385</v>
      </c>
      <c r="B96" t="s">
        <v>35</v>
      </c>
      <c r="C96" t="s">
        <v>131</v>
      </c>
      <c r="D96" t="s">
        <v>18</v>
      </c>
      <c r="E96" s="1">
        <v>35191</v>
      </c>
      <c r="F96" s="1">
        <v>43066</v>
      </c>
      <c r="G96">
        <v>10</v>
      </c>
      <c r="H96" t="s">
        <v>49</v>
      </c>
      <c r="I96" t="s">
        <v>30</v>
      </c>
      <c r="J96" t="s">
        <v>21</v>
      </c>
      <c r="K96" t="s">
        <v>22</v>
      </c>
      <c r="L96" s="15">
        <v>7800</v>
      </c>
      <c r="M96" t="s">
        <v>32</v>
      </c>
      <c r="P96" t="s">
        <v>236</v>
      </c>
      <c r="Q96" t="str">
        <f>_xlfn.XLOOKUP(angajati__2[[#This Row],[id_departament]],departamente!A:A,departamente!B:B)</f>
        <v>IT</v>
      </c>
      <c r="R96">
        <f t="shared" si="3"/>
        <v>29</v>
      </c>
      <c r="S96">
        <f t="shared" si="4"/>
        <v>8.1</v>
      </c>
      <c r="T96" t="str" cm="1">
        <f t="array" ref="T96">_xlfn.IFS(
    S96&lt;1, "&lt; 1 an",
    S96&lt;3, "1–3 ani",
    S96&lt;5, "3–5 ani",
    S96&gt;=5, "&gt; 5 ani"
)</f>
        <v>&gt; 5 ani</v>
      </c>
      <c r="U96">
        <f t="shared" si="5"/>
        <v>0</v>
      </c>
    </row>
    <row r="97" spans="1:21" x14ac:dyDescent="0.3">
      <c r="A97">
        <v>1305</v>
      </c>
      <c r="B97" t="s">
        <v>54</v>
      </c>
      <c r="C97" t="s">
        <v>107</v>
      </c>
      <c r="D97" t="s">
        <v>37</v>
      </c>
      <c r="E97" s="1">
        <v>32178</v>
      </c>
      <c r="F97" s="1">
        <v>43354</v>
      </c>
      <c r="G97">
        <v>20</v>
      </c>
      <c r="H97" t="s">
        <v>60</v>
      </c>
      <c r="I97" t="s">
        <v>20</v>
      </c>
      <c r="J97" t="s">
        <v>21</v>
      </c>
      <c r="K97" t="s">
        <v>22</v>
      </c>
      <c r="L97" s="15">
        <v>9050</v>
      </c>
      <c r="M97" t="s">
        <v>32</v>
      </c>
      <c r="P97" t="s">
        <v>237</v>
      </c>
      <c r="Q97" t="str">
        <f>_xlfn.XLOOKUP(angajati__2[[#This Row],[id_departament]],departamente!A:A,departamente!B:B)</f>
        <v>Vânzări</v>
      </c>
      <c r="R97">
        <f t="shared" si="3"/>
        <v>37</v>
      </c>
      <c r="S97">
        <f t="shared" si="4"/>
        <v>7.3</v>
      </c>
      <c r="T97" t="str" cm="1">
        <f t="array" ref="T97">_xlfn.IFS(
    S97&lt;1, "&lt; 1 an",
    S97&lt;3, "1–3 ani",
    S97&lt;5, "3–5 ani",
    S97&gt;=5, "&gt; 5 ani"
)</f>
        <v>&gt; 5 ani</v>
      </c>
      <c r="U97">
        <f t="shared" si="5"/>
        <v>0</v>
      </c>
    </row>
    <row r="98" spans="1:21" x14ac:dyDescent="0.3">
      <c r="A98">
        <v>1084</v>
      </c>
      <c r="B98" t="s">
        <v>147</v>
      </c>
      <c r="C98" t="s">
        <v>59</v>
      </c>
      <c r="D98" t="s">
        <v>18</v>
      </c>
      <c r="E98" s="1">
        <v>30153</v>
      </c>
      <c r="F98" s="1">
        <v>44358</v>
      </c>
      <c r="G98">
        <v>30</v>
      </c>
      <c r="H98" t="s">
        <v>209</v>
      </c>
      <c r="I98" t="s">
        <v>39</v>
      </c>
      <c r="J98" t="s">
        <v>21</v>
      </c>
      <c r="K98" t="s">
        <v>22</v>
      </c>
      <c r="L98" s="15">
        <v>9150</v>
      </c>
      <c r="M98" t="s">
        <v>23</v>
      </c>
      <c r="N98" s="1">
        <v>45875</v>
      </c>
      <c r="O98" t="s">
        <v>24</v>
      </c>
      <c r="P98" t="s">
        <v>238</v>
      </c>
      <c r="Q98" t="str">
        <f>_xlfn.XLOOKUP(angajati__2[[#This Row],[id_departament]],departamente!A:A,departamente!B:B)</f>
        <v>Marketing</v>
      </c>
      <c r="R98">
        <f t="shared" si="3"/>
        <v>43</v>
      </c>
      <c r="S98">
        <f t="shared" si="4"/>
        <v>4.2</v>
      </c>
      <c r="T98" t="str" cm="1">
        <f t="array" ref="T98">_xlfn.IFS(
    S98&lt;1, "&lt; 1 an",
    S98&lt;3, "1–3 ani",
    S98&lt;5, "3–5 ani",
    S98&gt;=5, "&gt; 5 ani"
)</f>
        <v>3–5 ani</v>
      </c>
      <c r="U98">
        <f t="shared" si="5"/>
        <v>1</v>
      </c>
    </row>
    <row r="99" spans="1:21" x14ac:dyDescent="0.3">
      <c r="A99">
        <v>1396</v>
      </c>
      <c r="B99" t="s">
        <v>67</v>
      </c>
      <c r="C99" t="s">
        <v>59</v>
      </c>
      <c r="D99" t="s">
        <v>18</v>
      </c>
      <c r="E99" s="1">
        <v>34385</v>
      </c>
      <c r="F99" s="1">
        <v>45308</v>
      </c>
      <c r="G99">
        <v>70</v>
      </c>
      <c r="H99" t="s">
        <v>38</v>
      </c>
      <c r="I99" t="s">
        <v>39</v>
      </c>
      <c r="J99" t="s">
        <v>21</v>
      </c>
      <c r="K99" t="s">
        <v>22</v>
      </c>
      <c r="L99" s="15">
        <v>7450</v>
      </c>
      <c r="M99" t="s">
        <v>32</v>
      </c>
      <c r="P99" t="s">
        <v>239</v>
      </c>
      <c r="Q99" t="str">
        <f>_xlfn.XLOOKUP(angajati__2[[#This Row],[id_departament]],departamente!A:A,departamente!B:B)</f>
        <v>Operațiuni</v>
      </c>
      <c r="R99">
        <f t="shared" si="3"/>
        <v>31</v>
      </c>
      <c r="S99">
        <f t="shared" si="4"/>
        <v>2</v>
      </c>
      <c r="T99" t="str" cm="1">
        <f t="array" ref="T99">_xlfn.IFS(
    S99&lt;1, "&lt; 1 an",
    S99&lt;3, "1–3 ani",
    S99&lt;5, "3–5 ani",
    S99&gt;=5, "&gt; 5 ani"
)</f>
        <v>1–3 ani</v>
      </c>
      <c r="U99">
        <f t="shared" si="5"/>
        <v>0</v>
      </c>
    </row>
    <row r="100" spans="1:21" x14ac:dyDescent="0.3">
      <c r="A100">
        <v>1358</v>
      </c>
      <c r="B100" t="s">
        <v>112</v>
      </c>
      <c r="C100" t="s">
        <v>216</v>
      </c>
      <c r="D100" t="s">
        <v>18</v>
      </c>
      <c r="E100" s="1">
        <v>36617</v>
      </c>
      <c r="F100" s="1">
        <v>45692</v>
      </c>
      <c r="G100">
        <v>60</v>
      </c>
      <c r="H100" t="s">
        <v>29</v>
      </c>
      <c r="I100" t="s">
        <v>30</v>
      </c>
      <c r="J100" t="s">
        <v>52</v>
      </c>
      <c r="K100" t="s">
        <v>22</v>
      </c>
      <c r="L100" s="15">
        <v>4050</v>
      </c>
      <c r="M100" t="s">
        <v>32</v>
      </c>
      <c r="P100" t="s">
        <v>240</v>
      </c>
      <c r="Q100" t="str">
        <f>_xlfn.XLOOKUP(angajati__2[[#This Row],[id_departament]],departamente!A:A,departamente!B:B)</f>
        <v>Suport Clienți</v>
      </c>
      <c r="R100">
        <f t="shared" si="3"/>
        <v>25</v>
      </c>
      <c r="S100">
        <f t="shared" si="4"/>
        <v>0.9</v>
      </c>
      <c r="T100" t="str" cm="1">
        <f t="array" ref="T100">_xlfn.IFS(
    S100&lt;1, "&lt; 1 an",
    S100&lt;3, "1–3 ani",
    S100&lt;5, "3–5 ani",
    S100&gt;=5, "&gt; 5 ani"
)</f>
        <v>&lt; 1 an</v>
      </c>
      <c r="U100">
        <f t="shared" si="5"/>
        <v>0</v>
      </c>
    </row>
    <row r="101" spans="1:21" x14ac:dyDescent="0.3">
      <c r="A101">
        <v>1062</v>
      </c>
      <c r="B101" t="s">
        <v>85</v>
      </c>
      <c r="C101" t="s">
        <v>119</v>
      </c>
      <c r="D101" t="s">
        <v>18</v>
      </c>
      <c r="E101" s="1">
        <v>32517</v>
      </c>
      <c r="F101" s="1">
        <v>44888</v>
      </c>
      <c r="G101">
        <v>30</v>
      </c>
      <c r="H101" t="s">
        <v>56</v>
      </c>
      <c r="I101" t="s">
        <v>45</v>
      </c>
      <c r="J101" t="s">
        <v>46</v>
      </c>
      <c r="K101" t="s">
        <v>22</v>
      </c>
      <c r="L101" s="15">
        <v>4200</v>
      </c>
      <c r="M101" t="s">
        <v>32</v>
      </c>
      <c r="P101" t="s">
        <v>241</v>
      </c>
      <c r="Q101" t="str">
        <f>_xlfn.XLOOKUP(angajati__2[[#This Row],[id_departament]],departamente!A:A,departamente!B:B)</f>
        <v>Marketing</v>
      </c>
      <c r="R101">
        <f t="shared" si="3"/>
        <v>36</v>
      </c>
      <c r="S101">
        <f t="shared" si="4"/>
        <v>3.1</v>
      </c>
      <c r="T101" t="str" cm="1">
        <f t="array" ref="T101">_xlfn.IFS(
    S101&lt;1, "&lt; 1 an",
    S101&lt;3, "1–3 ani",
    S101&lt;5, "3–5 ani",
    S101&gt;=5, "&gt; 5 ani"
)</f>
        <v>3–5 ani</v>
      </c>
      <c r="U101">
        <f t="shared" si="5"/>
        <v>0</v>
      </c>
    </row>
    <row r="102" spans="1:21" x14ac:dyDescent="0.3">
      <c r="A102">
        <v>1341</v>
      </c>
      <c r="B102" t="s">
        <v>89</v>
      </c>
      <c r="C102" t="s">
        <v>200</v>
      </c>
      <c r="D102" t="s">
        <v>18</v>
      </c>
      <c r="E102" s="1">
        <v>27428</v>
      </c>
      <c r="F102" s="1">
        <v>43095</v>
      </c>
      <c r="G102">
        <v>10</v>
      </c>
      <c r="H102" t="s">
        <v>108</v>
      </c>
      <c r="I102" t="s">
        <v>39</v>
      </c>
      <c r="J102" t="s">
        <v>21</v>
      </c>
      <c r="K102" t="s">
        <v>22</v>
      </c>
      <c r="L102" s="15">
        <v>14500</v>
      </c>
      <c r="M102" t="s">
        <v>32</v>
      </c>
      <c r="P102" t="s">
        <v>243</v>
      </c>
      <c r="Q102" t="str">
        <f>_xlfn.XLOOKUP(angajati__2[[#This Row],[id_departament]],departamente!A:A,departamente!B:B)</f>
        <v>IT</v>
      </c>
      <c r="R102">
        <f t="shared" si="3"/>
        <v>50</v>
      </c>
      <c r="S102">
        <f t="shared" si="4"/>
        <v>8</v>
      </c>
      <c r="T102" t="str" cm="1">
        <f t="array" ref="T102">_xlfn.IFS(
    S102&lt;1, "&lt; 1 an",
    S102&lt;3, "1–3 ani",
    S102&lt;5, "3–5 ani",
    S102&gt;=5, "&gt; 5 ani"
)</f>
        <v>&gt; 5 ani</v>
      </c>
      <c r="U102">
        <f t="shared" si="5"/>
        <v>0</v>
      </c>
    </row>
    <row r="103" spans="1:21" x14ac:dyDescent="0.3">
      <c r="A103">
        <v>1417</v>
      </c>
      <c r="B103" t="s">
        <v>136</v>
      </c>
      <c r="C103" t="s">
        <v>216</v>
      </c>
      <c r="D103" t="s">
        <v>18</v>
      </c>
      <c r="E103" s="1">
        <v>35372</v>
      </c>
      <c r="F103" s="1">
        <v>45660</v>
      </c>
      <c r="G103">
        <v>20</v>
      </c>
      <c r="H103" t="s">
        <v>104</v>
      </c>
      <c r="I103" t="s">
        <v>45</v>
      </c>
      <c r="J103" t="s">
        <v>21</v>
      </c>
      <c r="K103" t="s">
        <v>22</v>
      </c>
      <c r="L103" s="15">
        <v>2750</v>
      </c>
      <c r="M103" t="s">
        <v>23</v>
      </c>
      <c r="N103" s="1">
        <v>45993</v>
      </c>
      <c r="O103" t="s">
        <v>105</v>
      </c>
      <c r="P103" t="s">
        <v>244</v>
      </c>
      <c r="Q103" t="str">
        <f>_xlfn.XLOOKUP(angajati__2[[#This Row],[id_departament]],departamente!A:A,departamente!B:B)</f>
        <v>Vânzări</v>
      </c>
      <c r="R103">
        <f t="shared" si="3"/>
        <v>29</v>
      </c>
      <c r="S103">
        <f t="shared" si="4"/>
        <v>0.9</v>
      </c>
      <c r="T103" t="str" cm="1">
        <f t="array" ref="T103">_xlfn.IFS(
    S103&lt;1, "&lt; 1 an",
    S103&lt;3, "1–3 ani",
    S103&lt;5, "3–5 ani",
    S103&gt;=5, "&gt; 5 ani"
)</f>
        <v>&lt; 1 an</v>
      </c>
      <c r="U103">
        <f t="shared" si="5"/>
        <v>1</v>
      </c>
    </row>
    <row r="104" spans="1:21" x14ac:dyDescent="0.3">
      <c r="A104">
        <v>1467</v>
      </c>
      <c r="B104" t="s">
        <v>58</v>
      </c>
      <c r="C104" t="s">
        <v>59</v>
      </c>
      <c r="D104" t="s">
        <v>18</v>
      </c>
      <c r="E104" s="1">
        <v>28552</v>
      </c>
      <c r="F104" s="1">
        <v>43549</v>
      </c>
      <c r="G104">
        <v>20</v>
      </c>
      <c r="H104" t="s">
        <v>104</v>
      </c>
      <c r="I104" t="s">
        <v>39</v>
      </c>
      <c r="J104" t="s">
        <v>21</v>
      </c>
      <c r="K104" t="s">
        <v>40</v>
      </c>
      <c r="L104" s="15">
        <v>9700</v>
      </c>
      <c r="M104" t="s">
        <v>23</v>
      </c>
      <c r="N104" s="1">
        <v>44227</v>
      </c>
      <c r="O104" t="s">
        <v>62</v>
      </c>
      <c r="P104" t="s">
        <v>245</v>
      </c>
      <c r="Q104" t="str">
        <f>_xlfn.XLOOKUP(angajati__2[[#This Row],[id_departament]],departamente!A:A,departamente!B:B)</f>
        <v>Vânzări</v>
      </c>
      <c r="R104">
        <f t="shared" si="3"/>
        <v>47</v>
      </c>
      <c r="S104">
        <f t="shared" si="4"/>
        <v>1.9</v>
      </c>
      <c r="T104" t="str" cm="1">
        <f t="array" ref="T104">_xlfn.IFS(
    S104&lt;1, "&lt; 1 an",
    S104&lt;3, "1–3 ani",
    S104&lt;5, "3–5 ani",
    S104&gt;=5, "&gt; 5 ani"
)</f>
        <v>1–3 ani</v>
      </c>
      <c r="U104">
        <f t="shared" si="5"/>
        <v>1</v>
      </c>
    </row>
    <row r="105" spans="1:21" x14ac:dyDescent="0.3">
      <c r="A105">
        <v>1060</v>
      </c>
      <c r="B105" t="s">
        <v>67</v>
      </c>
      <c r="C105" t="s">
        <v>144</v>
      </c>
      <c r="D105" t="s">
        <v>37</v>
      </c>
      <c r="E105" s="1">
        <v>35593</v>
      </c>
      <c r="F105" s="1">
        <v>45829</v>
      </c>
      <c r="G105">
        <v>60</v>
      </c>
      <c r="H105" t="s">
        <v>29</v>
      </c>
      <c r="I105" t="s">
        <v>45</v>
      </c>
      <c r="J105" t="s">
        <v>52</v>
      </c>
      <c r="K105" t="s">
        <v>22</v>
      </c>
      <c r="L105" s="15">
        <v>3150</v>
      </c>
      <c r="M105" t="s">
        <v>32</v>
      </c>
      <c r="P105" t="s">
        <v>246</v>
      </c>
      <c r="Q105" t="str">
        <f>_xlfn.XLOOKUP(angajati__2[[#This Row],[id_departament]],departamente!A:A,departamente!B:B)</f>
        <v>Suport Clienți</v>
      </c>
      <c r="R105">
        <f t="shared" si="3"/>
        <v>28</v>
      </c>
      <c r="S105">
        <f t="shared" si="4"/>
        <v>0.5</v>
      </c>
      <c r="T105" t="str" cm="1">
        <f t="array" ref="T105">_xlfn.IFS(
    S105&lt;1, "&lt; 1 an",
    S105&lt;3, "1–3 ani",
    S105&lt;5, "3–5 ani",
    S105&gt;=5, "&gt; 5 ani"
)</f>
        <v>&lt; 1 an</v>
      </c>
      <c r="U105">
        <f t="shared" si="5"/>
        <v>0</v>
      </c>
    </row>
    <row r="106" spans="1:21" x14ac:dyDescent="0.3">
      <c r="A106">
        <v>1186</v>
      </c>
      <c r="B106" t="s">
        <v>70</v>
      </c>
      <c r="C106" t="s">
        <v>247</v>
      </c>
      <c r="D106" t="s">
        <v>18</v>
      </c>
      <c r="E106" s="1">
        <v>35326</v>
      </c>
      <c r="F106" s="1">
        <v>43428</v>
      </c>
      <c r="G106">
        <v>20</v>
      </c>
      <c r="H106" t="s">
        <v>104</v>
      </c>
      <c r="I106" t="s">
        <v>45</v>
      </c>
      <c r="J106" t="s">
        <v>31</v>
      </c>
      <c r="K106" t="s">
        <v>22</v>
      </c>
      <c r="L106" s="15">
        <v>3700</v>
      </c>
      <c r="M106" t="s">
        <v>23</v>
      </c>
      <c r="N106" s="1">
        <v>43626</v>
      </c>
      <c r="O106" t="s">
        <v>117</v>
      </c>
      <c r="P106" t="s">
        <v>248</v>
      </c>
      <c r="Q106" t="str">
        <f>_xlfn.XLOOKUP(angajati__2[[#This Row],[id_departament]],departamente!A:A,departamente!B:B)</f>
        <v>Vânzări</v>
      </c>
      <c r="R106">
        <f t="shared" si="3"/>
        <v>29</v>
      </c>
      <c r="S106">
        <f t="shared" si="4"/>
        <v>0.5</v>
      </c>
      <c r="T106" t="str" cm="1">
        <f t="array" ref="T106">_xlfn.IFS(
    S106&lt;1, "&lt; 1 an",
    S106&lt;3, "1–3 ani",
    S106&lt;5, "3–5 ani",
    S106&gt;=5, "&gt; 5 ani"
)</f>
        <v>&lt; 1 an</v>
      </c>
      <c r="U106">
        <f t="shared" si="5"/>
        <v>1</v>
      </c>
    </row>
    <row r="107" spans="1:21" x14ac:dyDescent="0.3">
      <c r="A107">
        <v>1011</v>
      </c>
      <c r="B107" t="s">
        <v>157</v>
      </c>
      <c r="C107" t="s">
        <v>126</v>
      </c>
      <c r="D107" t="s">
        <v>37</v>
      </c>
      <c r="E107" s="1">
        <v>35181</v>
      </c>
      <c r="F107" s="1">
        <v>45178</v>
      </c>
      <c r="G107">
        <v>10</v>
      </c>
      <c r="H107" t="s">
        <v>44</v>
      </c>
      <c r="I107" t="s">
        <v>30</v>
      </c>
      <c r="J107" t="s">
        <v>21</v>
      </c>
      <c r="K107" t="s">
        <v>22</v>
      </c>
      <c r="L107" s="15">
        <v>8650</v>
      </c>
      <c r="M107" t="s">
        <v>32</v>
      </c>
      <c r="P107" t="s">
        <v>249</v>
      </c>
      <c r="Q107" t="str">
        <f>_xlfn.XLOOKUP(angajati__2[[#This Row],[id_departament]],departamente!A:A,departamente!B:B)</f>
        <v>IT</v>
      </c>
      <c r="R107">
        <f t="shared" si="3"/>
        <v>29</v>
      </c>
      <c r="S107">
        <f t="shared" si="4"/>
        <v>2.2999999999999998</v>
      </c>
      <c r="T107" t="str" cm="1">
        <f t="array" ref="T107">_xlfn.IFS(
    S107&lt;1, "&lt; 1 an",
    S107&lt;3, "1–3 ani",
    S107&lt;5, "3–5 ani",
    S107&gt;=5, "&gt; 5 ani"
)</f>
        <v>1–3 ani</v>
      </c>
      <c r="U107">
        <f t="shared" si="5"/>
        <v>0</v>
      </c>
    </row>
    <row r="108" spans="1:21" x14ac:dyDescent="0.3">
      <c r="A108">
        <v>1056</v>
      </c>
      <c r="B108" t="s">
        <v>89</v>
      </c>
      <c r="C108" t="s">
        <v>194</v>
      </c>
      <c r="D108" t="s">
        <v>37</v>
      </c>
      <c r="E108" s="1">
        <v>25491</v>
      </c>
      <c r="F108" s="1">
        <v>43858</v>
      </c>
      <c r="G108">
        <v>20</v>
      </c>
      <c r="H108" t="s">
        <v>60</v>
      </c>
      <c r="I108" t="s">
        <v>20</v>
      </c>
      <c r="J108" t="s">
        <v>21</v>
      </c>
      <c r="K108" t="s">
        <v>22</v>
      </c>
      <c r="L108" s="15">
        <v>10100</v>
      </c>
      <c r="M108" t="s">
        <v>32</v>
      </c>
      <c r="P108" t="s">
        <v>250</v>
      </c>
      <c r="Q108" t="str">
        <f>_xlfn.XLOOKUP(angajati__2[[#This Row],[id_departament]],departamente!A:A,departamente!B:B)</f>
        <v>Vânzări</v>
      </c>
      <c r="R108">
        <f t="shared" si="3"/>
        <v>56</v>
      </c>
      <c r="S108">
        <f t="shared" si="4"/>
        <v>5.9</v>
      </c>
      <c r="T108" t="str" cm="1">
        <f t="array" ref="T108">_xlfn.IFS(
    S108&lt;1, "&lt; 1 an",
    S108&lt;3, "1–3 ani",
    S108&lt;5, "3–5 ani",
    S108&gt;=5, "&gt; 5 ani"
)</f>
        <v>&gt; 5 ani</v>
      </c>
      <c r="U108">
        <f t="shared" si="5"/>
        <v>0</v>
      </c>
    </row>
    <row r="109" spans="1:21" x14ac:dyDescent="0.3">
      <c r="A109">
        <v>1446</v>
      </c>
      <c r="B109" t="s">
        <v>125</v>
      </c>
      <c r="C109" t="s">
        <v>126</v>
      </c>
      <c r="D109" t="s">
        <v>37</v>
      </c>
      <c r="E109" s="1">
        <v>36753</v>
      </c>
      <c r="F109" s="1">
        <v>45375</v>
      </c>
      <c r="G109">
        <v>10</v>
      </c>
      <c r="H109" t="s">
        <v>44</v>
      </c>
      <c r="I109" t="s">
        <v>45</v>
      </c>
      <c r="J109" t="s">
        <v>31</v>
      </c>
      <c r="K109" t="s">
        <v>22</v>
      </c>
      <c r="L109" s="15">
        <v>6850</v>
      </c>
      <c r="M109" t="s">
        <v>32</v>
      </c>
      <c r="P109" t="s">
        <v>251</v>
      </c>
      <c r="Q109" t="str">
        <f>_xlfn.XLOOKUP(angajati__2[[#This Row],[id_departament]],departamente!A:A,departamente!B:B)</f>
        <v>IT</v>
      </c>
      <c r="R109">
        <f t="shared" si="3"/>
        <v>25</v>
      </c>
      <c r="S109">
        <f t="shared" si="4"/>
        <v>1.8</v>
      </c>
      <c r="T109" t="str" cm="1">
        <f t="array" ref="T109">_xlfn.IFS(
    S109&lt;1, "&lt; 1 an",
    S109&lt;3, "1–3 ani",
    S109&lt;5, "3–5 ani",
    S109&gt;=5, "&gt; 5 ani"
)</f>
        <v>1–3 ani</v>
      </c>
      <c r="U109">
        <f t="shared" si="5"/>
        <v>0</v>
      </c>
    </row>
    <row r="110" spans="1:21" x14ac:dyDescent="0.3">
      <c r="A110">
        <v>1362</v>
      </c>
      <c r="B110" t="s">
        <v>188</v>
      </c>
      <c r="C110" t="s">
        <v>198</v>
      </c>
      <c r="D110" t="s">
        <v>18</v>
      </c>
      <c r="E110" s="1">
        <v>32817</v>
      </c>
      <c r="F110" s="1">
        <v>44728</v>
      </c>
      <c r="G110">
        <v>20</v>
      </c>
      <c r="H110" t="s">
        <v>60</v>
      </c>
      <c r="I110" t="s">
        <v>20</v>
      </c>
      <c r="J110" t="s">
        <v>31</v>
      </c>
      <c r="K110" t="s">
        <v>22</v>
      </c>
      <c r="L110" s="15">
        <v>9750</v>
      </c>
      <c r="M110" t="s">
        <v>32</v>
      </c>
      <c r="P110" t="s">
        <v>252</v>
      </c>
      <c r="Q110" t="str">
        <f>_xlfn.XLOOKUP(angajati__2[[#This Row],[id_departament]],departamente!A:A,departamente!B:B)</f>
        <v>Vânzări</v>
      </c>
      <c r="R110">
        <f t="shared" si="3"/>
        <v>36</v>
      </c>
      <c r="S110">
        <f t="shared" si="4"/>
        <v>3.5</v>
      </c>
      <c r="T110" t="str" cm="1">
        <f t="array" ref="T110">_xlfn.IFS(
    S110&lt;1, "&lt; 1 an",
    S110&lt;3, "1–3 ani",
    S110&lt;5, "3–5 ani",
    S110&gt;=5, "&gt; 5 ani"
)</f>
        <v>3–5 ani</v>
      </c>
      <c r="U110">
        <f t="shared" si="5"/>
        <v>0</v>
      </c>
    </row>
    <row r="111" spans="1:21" x14ac:dyDescent="0.3">
      <c r="A111">
        <v>1057</v>
      </c>
      <c r="B111" t="s">
        <v>164</v>
      </c>
      <c r="C111" t="s">
        <v>206</v>
      </c>
      <c r="D111" t="s">
        <v>18</v>
      </c>
      <c r="E111" s="1">
        <v>35895</v>
      </c>
      <c r="F111" s="1">
        <v>45395</v>
      </c>
      <c r="G111">
        <v>60</v>
      </c>
      <c r="H111" t="s">
        <v>78</v>
      </c>
      <c r="I111" t="s">
        <v>45</v>
      </c>
      <c r="J111" t="s">
        <v>21</v>
      </c>
      <c r="K111" t="s">
        <v>22</v>
      </c>
      <c r="L111" s="15">
        <v>2950</v>
      </c>
      <c r="M111" t="s">
        <v>23</v>
      </c>
      <c r="N111" s="1">
        <v>45947</v>
      </c>
      <c r="O111" t="s">
        <v>152</v>
      </c>
      <c r="P111" t="s">
        <v>254</v>
      </c>
      <c r="Q111" t="str">
        <f>_xlfn.XLOOKUP(angajati__2[[#This Row],[id_departament]],departamente!A:A,departamente!B:B)</f>
        <v>Suport Clienți</v>
      </c>
      <c r="R111">
        <f t="shared" si="3"/>
        <v>27</v>
      </c>
      <c r="S111">
        <f t="shared" si="4"/>
        <v>1.5</v>
      </c>
      <c r="T111" t="str" cm="1">
        <f t="array" ref="T111">_xlfn.IFS(
    S111&lt;1, "&lt; 1 an",
    S111&lt;3, "1–3 ani",
    S111&lt;5, "3–5 ani",
    S111&gt;=5, "&gt; 5 ani"
)</f>
        <v>1–3 ani</v>
      </c>
      <c r="U111">
        <f t="shared" si="5"/>
        <v>1</v>
      </c>
    </row>
    <row r="112" spans="1:21" x14ac:dyDescent="0.3">
      <c r="A112">
        <v>1477</v>
      </c>
      <c r="B112" t="s">
        <v>134</v>
      </c>
      <c r="C112" t="s">
        <v>74</v>
      </c>
      <c r="D112" t="s">
        <v>18</v>
      </c>
      <c r="E112" s="1">
        <v>34168</v>
      </c>
      <c r="F112" s="1">
        <v>42763</v>
      </c>
      <c r="G112">
        <v>10</v>
      </c>
      <c r="H112" t="s">
        <v>44</v>
      </c>
      <c r="I112" t="s">
        <v>45</v>
      </c>
      <c r="J112" t="s">
        <v>21</v>
      </c>
      <c r="K112" t="s">
        <v>22</v>
      </c>
      <c r="L112" s="15">
        <v>6600</v>
      </c>
      <c r="M112" t="s">
        <v>32</v>
      </c>
      <c r="P112" t="s">
        <v>255</v>
      </c>
      <c r="Q112" t="str">
        <f>_xlfn.XLOOKUP(angajati__2[[#This Row],[id_departament]],departamente!A:A,departamente!B:B)</f>
        <v>IT</v>
      </c>
      <c r="R112">
        <f t="shared" si="3"/>
        <v>32</v>
      </c>
      <c r="S112">
        <f t="shared" si="4"/>
        <v>8.9</v>
      </c>
      <c r="T112" t="str" cm="1">
        <f t="array" ref="T112">_xlfn.IFS(
    S112&lt;1, "&lt; 1 an",
    S112&lt;3, "1–3 ani",
    S112&lt;5, "3–5 ani",
    S112&gt;=5, "&gt; 5 ani"
)</f>
        <v>&gt; 5 ani</v>
      </c>
      <c r="U112">
        <f t="shared" si="5"/>
        <v>0</v>
      </c>
    </row>
    <row r="113" spans="1:21" x14ac:dyDescent="0.3">
      <c r="A113">
        <v>1348</v>
      </c>
      <c r="B113" t="s">
        <v>136</v>
      </c>
      <c r="C113" t="s">
        <v>65</v>
      </c>
      <c r="D113" t="s">
        <v>18</v>
      </c>
      <c r="E113" s="1">
        <v>33077</v>
      </c>
      <c r="F113" s="1">
        <v>45068</v>
      </c>
      <c r="G113">
        <v>10</v>
      </c>
      <c r="H113" t="s">
        <v>49</v>
      </c>
      <c r="I113" t="s">
        <v>45</v>
      </c>
      <c r="J113" t="s">
        <v>21</v>
      </c>
      <c r="K113" t="s">
        <v>22</v>
      </c>
      <c r="L113" s="15">
        <v>6300</v>
      </c>
      <c r="M113" t="s">
        <v>23</v>
      </c>
      <c r="N113" s="1">
        <v>45374</v>
      </c>
      <c r="O113" t="s">
        <v>152</v>
      </c>
      <c r="P113" t="s">
        <v>256</v>
      </c>
      <c r="Q113" t="str">
        <f>_xlfn.XLOOKUP(angajati__2[[#This Row],[id_departament]],departamente!A:A,departamente!B:B)</f>
        <v>IT</v>
      </c>
      <c r="R113">
        <f t="shared" si="3"/>
        <v>35</v>
      </c>
      <c r="S113">
        <f t="shared" si="4"/>
        <v>0.8</v>
      </c>
      <c r="T113" t="str" cm="1">
        <f t="array" ref="T113">_xlfn.IFS(
    S113&lt;1, "&lt; 1 an",
    S113&lt;3, "1–3 ani",
    S113&lt;5, "3–5 ani",
    S113&gt;=5, "&gt; 5 ani"
)</f>
        <v>&lt; 1 an</v>
      </c>
      <c r="U113">
        <f t="shared" si="5"/>
        <v>1</v>
      </c>
    </row>
    <row r="114" spans="1:21" x14ac:dyDescent="0.3">
      <c r="A114">
        <v>1198</v>
      </c>
      <c r="B114" t="s">
        <v>92</v>
      </c>
      <c r="C114" t="s">
        <v>74</v>
      </c>
      <c r="D114" t="s">
        <v>18</v>
      </c>
      <c r="E114" s="1">
        <v>29618</v>
      </c>
      <c r="F114" s="1">
        <v>45046</v>
      </c>
      <c r="G114">
        <v>30</v>
      </c>
      <c r="H114" t="s">
        <v>257</v>
      </c>
      <c r="I114" t="s">
        <v>20</v>
      </c>
      <c r="J114" t="s">
        <v>46</v>
      </c>
      <c r="K114" t="s">
        <v>22</v>
      </c>
      <c r="L114" s="15">
        <v>11400</v>
      </c>
      <c r="M114" t="s">
        <v>32</v>
      </c>
      <c r="P114" t="s">
        <v>258</v>
      </c>
      <c r="Q114" t="str">
        <f>_xlfn.XLOOKUP(angajati__2[[#This Row],[id_departament]],departamente!A:A,departamente!B:B)</f>
        <v>Marketing</v>
      </c>
      <c r="R114">
        <f t="shared" si="3"/>
        <v>44</v>
      </c>
      <c r="S114">
        <f t="shared" si="4"/>
        <v>2.7</v>
      </c>
      <c r="T114" t="str" cm="1">
        <f t="array" ref="T114">_xlfn.IFS(
    S114&lt;1, "&lt; 1 an",
    S114&lt;3, "1–3 ani",
    S114&lt;5, "3–5 ani",
    S114&gt;=5, "&gt; 5 ani"
)</f>
        <v>1–3 ani</v>
      </c>
      <c r="U114">
        <f t="shared" si="5"/>
        <v>0</v>
      </c>
    </row>
    <row r="115" spans="1:21" x14ac:dyDescent="0.3">
      <c r="A115">
        <v>1089</v>
      </c>
      <c r="B115" t="s">
        <v>85</v>
      </c>
      <c r="C115" t="s">
        <v>216</v>
      </c>
      <c r="D115" t="s">
        <v>18</v>
      </c>
      <c r="E115" s="1">
        <v>32970</v>
      </c>
      <c r="F115" s="1">
        <v>43653</v>
      </c>
      <c r="G115">
        <v>20</v>
      </c>
      <c r="H115" t="s">
        <v>104</v>
      </c>
      <c r="I115" t="s">
        <v>30</v>
      </c>
      <c r="J115" t="s">
        <v>21</v>
      </c>
      <c r="K115" t="s">
        <v>22</v>
      </c>
      <c r="L115" s="15">
        <v>5100</v>
      </c>
      <c r="M115" t="s">
        <v>32</v>
      </c>
      <c r="P115" t="s">
        <v>259</v>
      </c>
      <c r="Q115" t="str">
        <f>_xlfn.XLOOKUP(angajati__2[[#This Row],[id_departament]],departamente!A:A,departamente!B:B)</f>
        <v>Vânzări</v>
      </c>
      <c r="R115">
        <f t="shared" si="3"/>
        <v>35</v>
      </c>
      <c r="S115">
        <f t="shared" si="4"/>
        <v>6.5</v>
      </c>
      <c r="T115" t="str" cm="1">
        <f t="array" ref="T115">_xlfn.IFS(
    S115&lt;1, "&lt; 1 an",
    S115&lt;3, "1–3 ani",
    S115&lt;5, "3–5 ani",
    S115&gt;=5, "&gt; 5 ani"
)</f>
        <v>&gt; 5 ani</v>
      </c>
      <c r="U115">
        <f t="shared" si="5"/>
        <v>0</v>
      </c>
    </row>
    <row r="116" spans="1:21" x14ac:dyDescent="0.3">
      <c r="A116">
        <v>1262</v>
      </c>
      <c r="B116" t="s">
        <v>112</v>
      </c>
      <c r="C116" t="s">
        <v>43</v>
      </c>
      <c r="D116" t="s">
        <v>37</v>
      </c>
      <c r="E116" s="1">
        <v>29378</v>
      </c>
      <c r="F116" s="1">
        <v>45843</v>
      </c>
      <c r="G116">
        <v>10</v>
      </c>
      <c r="H116" t="s">
        <v>108</v>
      </c>
      <c r="I116" t="s">
        <v>39</v>
      </c>
      <c r="J116" t="s">
        <v>21</v>
      </c>
      <c r="K116" t="s">
        <v>40</v>
      </c>
      <c r="L116" s="15">
        <v>12900</v>
      </c>
      <c r="M116" t="s">
        <v>23</v>
      </c>
      <c r="N116" s="1">
        <v>45978</v>
      </c>
      <c r="O116" t="s">
        <v>105</v>
      </c>
      <c r="P116" t="s">
        <v>260</v>
      </c>
      <c r="Q116" t="str">
        <f>_xlfn.XLOOKUP(angajati__2[[#This Row],[id_departament]],departamente!A:A,departamente!B:B)</f>
        <v>IT</v>
      </c>
      <c r="R116">
        <f t="shared" si="3"/>
        <v>45</v>
      </c>
      <c r="S116">
        <f t="shared" si="4"/>
        <v>0.4</v>
      </c>
      <c r="T116" t="str" cm="1">
        <f t="array" ref="T116">_xlfn.IFS(
    S116&lt;1, "&lt; 1 an",
    S116&lt;3, "1–3 ani",
    S116&lt;5, "3–5 ani",
    S116&gt;=5, "&gt; 5 ani"
)</f>
        <v>&lt; 1 an</v>
      </c>
      <c r="U116">
        <f t="shared" si="5"/>
        <v>1</v>
      </c>
    </row>
    <row r="117" spans="1:21" x14ac:dyDescent="0.3">
      <c r="A117">
        <v>1025</v>
      </c>
      <c r="B117" t="s">
        <v>125</v>
      </c>
      <c r="C117" t="s">
        <v>171</v>
      </c>
      <c r="D117" t="s">
        <v>18</v>
      </c>
      <c r="E117" s="1">
        <v>31114</v>
      </c>
      <c r="F117" s="1">
        <v>44799</v>
      </c>
      <c r="G117">
        <v>30</v>
      </c>
      <c r="H117" t="s">
        <v>209</v>
      </c>
      <c r="I117" t="s">
        <v>30</v>
      </c>
      <c r="J117" t="s">
        <v>46</v>
      </c>
      <c r="K117" t="s">
        <v>22</v>
      </c>
      <c r="L117" s="15">
        <v>6050</v>
      </c>
      <c r="M117" t="s">
        <v>32</v>
      </c>
      <c r="P117" t="s">
        <v>261</v>
      </c>
      <c r="Q117" t="str">
        <f>_xlfn.XLOOKUP(angajati__2[[#This Row],[id_departament]],departamente!A:A,departamente!B:B)</f>
        <v>Marketing</v>
      </c>
      <c r="R117">
        <f t="shared" si="3"/>
        <v>40</v>
      </c>
      <c r="S117">
        <f t="shared" si="4"/>
        <v>3.3</v>
      </c>
      <c r="T117" t="str" cm="1">
        <f t="array" ref="T117">_xlfn.IFS(
    S117&lt;1, "&lt; 1 an",
    S117&lt;3, "1–3 ani",
    S117&lt;5, "3–5 ani",
    S117&gt;=5, "&gt; 5 ani"
)</f>
        <v>3–5 ani</v>
      </c>
      <c r="U117">
        <f t="shared" si="5"/>
        <v>0</v>
      </c>
    </row>
    <row r="118" spans="1:21" x14ac:dyDescent="0.3">
      <c r="A118">
        <v>1112</v>
      </c>
      <c r="B118" t="s">
        <v>48</v>
      </c>
      <c r="C118" t="s">
        <v>216</v>
      </c>
      <c r="D118" t="s">
        <v>18</v>
      </c>
      <c r="E118" s="1">
        <v>33386</v>
      </c>
      <c r="F118" s="1">
        <v>43093</v>
      </c>
      <c r="G118">
        <v>30</v>
      </c>
      <c r="H118" t="s">
        <v>56</v>
      </c>
      <c r="I118" t="s">
        <v>45</v>
      </c>
      <c r="J118" t="s">
        <v>46</v>
      </c>
      <c r="K118" t="s">
        <v>22</v>
      </c>
      <c r="L118" s="15">
        <v>5000</v>
      </c>
      <c r="M118" t="s">
        <v>23</v>
      </c>
      <c r="N118" s="1">
        <v>44065</v>
      </c>
      <c r="O118" t="s">
        <v>687</v>
      </c>
      <c r="P118" t="s">
        <v>262</v>
      </c>
      <c r="Q118" t="str">
        <f>_xlfn.XLOOKUP(angajati__2[[#This Row],[id_departament]],departamente!A:A,departamente!B:B)</f>
        <v>Marketing</v>
      </c>
      <c r="R118">
        <f t="shared" si="3"/>
        <v>34</v>
      </c>
      <c r="S118">
        <f t="shared" si="4"/>
        <v>2.7</v>
      </c>
      <c r="T118" t="str" cm="1">
        <f t="array" ref="T118">_xlfn.IFS(
    S118&lt;1, "&lt; 1 an",
    S118&lt;3, "1–3 ani",
    S118&lt;5, "3–5 ani",
    S118&gt;=5, "&gt; 5 ani"
)</f>
        <v>1–3 ani</v>
      </c>
      <c r="U118">
        <f t="shared" si="5"/>
        <v>1</v>
      </c>
    </row>
    <row r="119" spans="1:21" x14ac:dyDescent="0.3">
      <c r="A119">
        <v>1115</v>
      </c>
      <c r="B119" t="s">
        <v>188</v>
      </c>
      <c r="C119" t="s">
        <v>119</v>
      </c>
      <c r="D119" t="s">
        <v>18</v>
      </c>
      <c r="E119" s="1">
        <v>26470</v>
      </c>
      <c r="F119" s="1">
        <v>43133</v>
      </c>
      <c r="G119">
        <v>50</v>
      </c>
      <c r="H119" t="s">
        <v>71</v>
      </c>
      <c r="I119" t="s">
        <v>39</v>
      </c>
      <c r="J119" t="s">
        <v>52</v>
      </c>
      <c r="K119" t="s">
        <v>22</v>
      </c>
      <c r="L119" s="15">
        <v>6800</v>
      </c>
      <c r="M119" t="s">
        <v>23</v>
      </c>
      <c r="N119" s="1">
        <v>45249</v>
      </c>
      <c r="O119" t="s">
        <v>687</v>
      </c>
      <c r="P119" t="s">
        <v>263</v>
      </c>
      <c r="Q119" t="str">
        <f>_xlfn.XLOOKUP(angajati__2[[#This Row],[id_departament]],departamente!A:A,departamente!B:B)</f>
        <v>Financiar</v>
      </c>
      <c r="R119">
        <f t="shared" si="3"/>
        <v>53</v>
      </c>
      <c r="S119">
        <f t="shared" si="4"/>
        <v>5.8</v>
      </c>
      <c r="T119" t="str" cm="1">
        <f t="array" ref="T119">_xlfn.IFS(
    S119&lt;1, "&lt; 1 an",
    S119&lt;3, "1–3 ani",
    S119&lt;5, "3–5 ani",
    S119&gt;=5, "&gt; 5 ani"
)</f>
        <v>&gt; 5 ani</v>
      </c>
      <c r="U119">
        <f t="shared" si="5"/>
        <v>1</v>
      </c>
    </row>
    <row r="120" spans="1:21" x14ac:dyDescent="0.3">
      <c r="A120">
        <v>1195</v>
      </c>
      <c r="B120" t="s">
        <v>100</v>
      </c>
      <c r="C120" t="s">
        <v>163</v>
      </c>
      <c r="D120" t="s">
        <v>18</v>
      </c>
      <c r="E120" s="1">
        <v>27826</v>
      </c>
      <c r="F120" s="1">
        <v>43750</v>
      </c>
      <c r="G120">
        <v>60</v>
      </c>
      <c r="H120" t="s">
        <v>78</v>
      </c>
      <c r="I120" t="s">
        <v>39</v>
      </c>
      <c r="J120" t="s">
        <v>52</v>
      </c>
      <c r="K120" t="s">
        <v>22</v>
      </c>
      <c r="L120" s="15">
        <v>6000</v>
      </c>
      <c r="M120" t="s">
        <v>32</v>
      </c>
      <c r="P120" t="s">
        <v>265</v>
      </c>
      <c r="Q120" t="str">
        <f>_xlfn.XLOOKUP(angajati__2[[#This Row],[id_departament]],departamente!A:A,departamente!B:B)</f>
        <v>Suport Clienți</v>
      </c>
      <c r="R120">
        <f t="shared" si="3"/>
        <v>49</v>
      </c>
      <c r="S120">
        <f t="shared" si="4"/>
        <v>6.2</v>
      </c>
      <c r="T120" t="str" cm="1">
        <f t="array" ref="T120">_xlfn.IFS(
    S120&lt;1, "&lt; 1 an",
    S120&lt;3, "1–3 ani",
    S120&lt;5, "3–5 ani",
    S120&gt;=5, "&gt; 5 ani"
)</f>
        <v>&gt; 5 ani</v>
      </c>
      <c r="U120">
        <f t="shared" si="5"/>
        <v>0</v>
      </c>
    </row>
    <row r="121" spans="1:21" x14ac:dyDescent="0.3">
      <c r="A121">
        <v>1391</v>
      </c>
      <c r="B121" t="s">
        <v>35</v>
      </c>
      <c r="C121" t="s">
        <v>266</v>
      </c>
      <c r="D121" t="s">
        <v>37</v>
      </c>
      <c r="E121" s="1">
        <v>33183</v>
      </c>
      <c r="F121" s="1">
        <v>43415</v>
      </c>
      <c r="G121">
        <v>60</v>
      </c>
      <c r="H121" t="s">
        <v>78</v>
      </c>
      <c r="I121" t="s">
        <v>30</v>
      </c>
      <c r="J121" t="s">
        <v>31</v>
      </c>
      <c r="K121" t="s">
        <v>22</v>
      </c>
      <c r="L121" s="15">
        <v>4175</v>
      </c>
      <c r="M121" t="s">
        <v>32</v>
      </c>
      <c r="P121" t="s">
        <v>267</v>
      </c>
      <c r="Q121" t="str">
        <f>_xlfn.XLOOKUP(angajati__2[[#This Row],[id_departament]],departamente!A:A,departamente!B:B)</f>
        <v>Suport Clienți</v>
      </c>
      <c r="R121">
        <f t="shared" si="3"/>
        <v>35</v>
      </c>
      <c r="S121">
        <f t="shared" si="4"/>
        <v>7.1</v>
      </c>
      <c r="T121" t="str" cm="1">
        <f t="array" ref="T121">_xlfn.IFS(
    S121&lt;1, "&lt; 1 an",
    S121&lt;3, "1–3 ani",
    S121&lt;5, "3–5 ani",
    S121&gt;=5, "&gt; 5 ani"
)</f>
        <v>&gt; 5 ani</v>
      </c>
      <c r="U121">
        <f t="shared" si="5"/>
        <v>0</v>
      </c>
    </row>
    <row r="122" spans="1:21" x14ac:dyDescent="0.3">
      <c r="A122">
        <v>1331</v>
      </c>
      <c r="B122" t="s">
        <v>180</v>
      </c>
      <c r="C122" t="s">
        <v>113</v>
      </c>
      <c r="D122" t="s">
        <v>37</v>
      </c>
      <c r="E122" s="1">
        <v>33366</v>
      </c>
      <c r="F122" s="1">
        <v>42962</v>
      </c>
      <c r="G122">
        <v>10</v>
      </c>
      <c r="H122" t="s">
        <v>49</v>
      </c>
      <c r="I122" t="s">
        <v>30</v>
      </c>
      <c r="J122" t="s">
        <v>21</v>
      </c>
      <c r="K122" t="s">
        <v>22</v>
      </c>
      <c r="L122" s="15">
        <v>10100</v>
      </c>
      <c r="M122" t="s">
        <v>32</v>
      </c>
      <c r="P122" t="s">
        <v>268</v>
      </c>
      <c r="Q122" t="str">
        <f>_xlfn.XLOOKUP(angajati__2[[#This Row],[id_departament]],departamente!A:A,departamente!B:B)</f>
        <v>IT</v>
      </c>
      <c r="R122">
        <f t="shared" si="3"/>
        <v>34</v>
      </c>
      <c r="S122">
        <f t="shared" si="4"/>
        <v>8.4</v>
      </c>
      <c r="T122" t="str" cm="1">
        <f t="array" ref="T122">_xlfn.IFS(
    S122&lt;1, "&lt; 1 an",
    S122&lt;3, "1–3 ani",
    S122&lt;5, "3–5 ani",
    S122&gt;=5, "&gt; 5 ani"
)</f>
        <v>&gt; 5 ani</v>
      </c>
      <c r="U122">
        <f t="shared" si="5"/>
        <v>0</v>
      </c>
    </row>
    <row r="123" spans="1:21" x14ac:dyDescent="0.3">
      <c r="A123">
        <v>1395</v>
      </c>
      <c r="B123" t="s">
        <v>70</v>
      </c>
      <c r="C123" t="s">
        <v>65</v>
      </c>
      <c r="D123" t="s">
        <v>18</v>
      </c>
      <c r="E123" s="1">
        <v>31670</v>
      </c>
      <c r="F123" s="1">
        <v>43230</v>
      </c>
      <c r="G123">
        <v>20</v>
      </c>
      <c r="H123" t="s">
        <v>68</v>
      </c>
      <c r="I123" t="s">
        <v>30</v>
      </c>
      <c r="J123" t="s">
        <v>21</v>
      </c>
      <c r="K123" t="s">
        <v>22</v>
      </c>
      <c r="L123" s="15">
        <v>5800</v>
      </c>
      <c r="M123" t="s">
        <v>23</v>
      </c>
      <c r="N123" s="1">
        <v>45821</v>
      </c>
      <c r="O123" t="s">
        <v>24</v>
      </c>
      <c r="P123" t="s">
        <v>269</v>
      </c>
      <c r="Q123" t="str">
        <f>_xlfn.XLOOKUP(angajati__2[[#This Row],[id_departament]],departamente!A:A,departamente!B:B)</f>
        <v>Vânzări</v>
      </c>
      <c r="R123">
        <f t="shared" si="3"/>
        <v>39</v>
      </c>
      <c r="S123">
        <f t="shared" si="4"/>
        <v>7.1</v>
      </c>
      <c r="T123" t="str" cm="1">
        <f t="array" ref="T123">_xlfn.IFS(
    S123&lt;1, "&lt; 1 an",
    S123&lt;3, "1–3 ani",
    S123&lt;5, "3–5 ani",
    S123&gt;=5, "&gt; 5 ani"
)</f>
        <v>&gt; 5 ani</v>
      </c>
      <c r="U123">
        <f t="shared" si="5"/>
        <v>1</v>
      </c>
    </row>
    <row r="124" spans="1:21" x14ac:dyDescent="0.3">
      <c r="A124">
        <v>1032</v>
      </c>
      <c r="B124" t="s">
        <v>122</v>
      </c>
      <c r="C124" t="s">
        <v>144</v>
      </c>
      <c r="D124" t="s">
        <v>37</v>
      </c>
      <c r="E124" s="1">
        <v>31780</v>
      </c>
      <c r="F124" s="1">
        <v>44452</v>
      </c>
      <c r="G124">
        <v>10</v>
      </c>
      <c r="H124" t="s">
        <v>108</v>
      </c>
      <c r="I124" t="s">
        <v>30</v>
      </c>
      <c r="J124" t="s">
        <v>21</v>
      </c>
      <c r="K124" t="s">
        <v>22</v>
      </c>
      <c r="L124" s="15">
        <v>7550</v>
      </c>
      <c r="M124" t="s">
        <v>32</v>
      </c>
      <c r="P124" t="s">
        <v>270</v>
      </c>
      <c r="Q124" t="str">
        <f>_xlfn.XLOOKUP(angajati__2[[#This Row],[id_departament]],departamente!A:A,departamente!B:B)</f>
        <v>IT</v>
      </c>
      <c r="R124">
        <f t="shared" si="3"/>
        <v>38</v>
      </c>
      <c r="S124">
        <f t="shared" si="4"/>
        <v>4.3</v>
      </c>
      <c r="T124" t="str" cm="1">
        <f t="array" ref="T124">_xlfn.IFS(
    S124&lt;1, "&lt; 1 an",
    S124&lt;3, "1–3 ani",
    S124&lt;5, "3–5 ani",
    S124&gt;=5, "&gt; 5 ani"
)</f>
        <v>3–5 ani</v>
      </c>
      <c r="U124">
        <f t="shared" si="5"/>
        <v>0</v>
      </c>
    </row>
    <row r="125" spans="1:21" x14ac:dyDescent="0.3">
      <c r="A125">
        <v>1334</v>
      </c>
      <c r="B125" t="s">
        <v>89</v>
      </c>
      <c r="C125" t="s">
        <v>27</v>
      </c>
      <c r="D125" t="s">
        <v>37</v>
      </c>
      <c r="E125" s="1">
        <v>30538</v>
      </c>
      <c r="F125" s="1">
        <v>45088</v>
      </c>
      <c r="G125">
        <v>40</v>
      </c>
      <c r="H125" t="s">
        <v>101</v>
      </c>
      <c r="I125" t="s">
        <v>45</v>
      </c>
      <c r="J125" t="s">
        <v>21</v>
      </c>
      <c r="K125" t="s">
        <v>22</v>
      </c>
      <c r="L125" s="15">
        <v>3700</v>
      </c>
      <c r="M125" t="s">
        <v>23</v>
      </c>
      <c r="N125" s="1">
        <v>45908</v>
      </c>
      <c r="O125" t="s">
        <v>687</v>
      </c>
      <c r="P125" t="s">
        <v>271</v>
      </c>
      <c r="Q125" t="str">
        <f>_xlfn.XLOOKUP(angajati__2[[#This Row],[id_departament]],departamente!A:A,departamente!B:B)</f>
        <v>Resurse Umane</v>
      </c>
      <c r="R125">
        <f t="shared" si="3"/>
        <v>42</v>
      </c>
      <c r="S125">
        <f t="shared" si="4"/>
        <v>2.2000000000000002</v>
      </c>
      <c r="T125" t="str" cm="1">
        <f t="array" ref="T125">_xlfn.IFS(
    S125&lt;1, "&lt; 1 an",
    S125&lt;3, "1–3 ani",
    S125&lt;5, "3–5 ani",
    S125&gt;=5, "&gt; 5 ani"
)</f>
        <v>1–3 ani</v>
      </c>
      <c r="U125">
        <f t="shared" si="5"/>
        <v>1</v>
      </c>
    </row>
    <row r="126" spans="1:21" x14ac:dyDescent="0.3">
      <c r="A126">
        <v>1192</v>
      </c>
      <c r="B126" t="s">
        <v>94</v>
      </c>
      <c r="C126" t="s">
        <v>266</v>
      </c>
      <c r="D126" t="s">
        <v>37</v>
      </c>
      <c r="E126" s="1">
        <v>34497</v>
      </c>
      <c r="F126" s="1">
        <v>43667</v>
      </c>
      <c r="G126">
        <v>30</v>
      </c>
      <c r="H126" t="s">
        <v>209</v>
      </c>
      <c r="I126" t="s">
        <v>30</v>
      </c>
      <c r="J126" t="s">
        <v>46</v>
      </c>
      <c r="K126" t="s">
        <v>22</v>
      </c>
      <c r="L126" s="15">
        <v>6700</v>
      </c>
      <c r="M126" t="s">
        <v>32</v>
      </c>
      <c r="P126" t="s">
        <v>272</v>
      </c>
      <c r="Q126" t="str">
        <f>_xlfn.XLOOKUP(angajati__2[[#This Row],[id_departament]],departamente!A:A,departamente!B:B)</f>
        <v>Marketing</v>
      </c>
      <c r="R126">
        <f t="shared" si="3"/>
        <v>31</v>
      </c>
      <c r="S126">
        <f t="shared" si="4"/>
        <v>6.4</v>
      </c>
      <c r="T126" t="str" cm="1">
        <f t="array" ref="T126">_xlfn.IFS(
    S126&lt;1, "&lt; 1 an",
    S126&lt;3, "1–3 ani",
    S126&lt;5, "3–5 ani",
    S126&gt;=5, "&gt; 5 ani"
)</f>
        <v>&gt; 5 ani</v>
      </c>
      <c r="U126">
        <f t="shared" si="5"/>
        <v>0</v>
      </c>
    </row>
    <row r="127" spans="1:21" x14ac:dyDescent="0.3">
      <c r="A127">
        <v>1434</v>
      </c>
      <c r="B127" t="s">
        <v>85</v>
      </c>
      <c r="C127" t="s">
        <v>273</v>
      </c>
      <c r="D127" t="s">
        <v>18</v>
      </c>
      <c r="E127" s="1">
        <v>32860</v>
      </c>
      <c r="F127" s="1">
        <v>44674</v>
      </c>
      <c r="G127">
        <v>60</v>
      </c>
      <c r="H127" t="s">
        <v>78</v>
      </c>
      <c r="I127" t="s">
        <v>39</v>
      </c>
      <c r="J127" t="s">
        <v>52</v>
      </c>
      <c r="K127" t="s">
        <v>22</v>
      </c>
      <c r="L127" s="15">
        <v>5600</v>
      </c>
      <c r="M127" t="s">
        <v>23</v>
      </c>
      <c r="N127" s="1">
        <v>45513</v>
      </c>
      <c r="O127" t="s">
        <v>186</v>
      </c>
      <c r="P127" t="s">
        <v>274</v>
      </c>
      <c r="Q127" t="str">
        <f>_xlfn.XLOOKUP(angajati__2[[#This Row],[id_departament]],departamente!A:A,departamente!B:B)</f>
        <v>Suport Clienți</v>
      </c>
      <c r="R127">
        <f t="shared" si="3"/>
        <v>36</v>
      </c>
      <c r="S127">
        <f t="shared" si="4"/>
        <v>2.2999999999999998</v>
      </c>
      <c r="T127" t="str" cm="1">
        <f t="array" ref="T127">_xlfn.IFS(
    S127&lt;1, "&lt; 1 an",
    S127&lt;3, "1–3 ani",
    S127&lt;5, "3–5 ani",
    S127&gt;=5, "&gt; 5 ani"
)</f>
        <v>1–3 ani</v>
      </c>
      <c r="U127">
        <f t="shared" si="5"/>
        <v>1</v>
      </c>
    </row>
    <row r="128" spans="1:21" x14ac:dyDescent="0.3">
      <c r="A128">
        <v>1171</v>
      </c>
      <c r="B128" t="s">
        <v>64</v>
      </c>
      <c r="C128" t="s">
        <v>131</v>
      </c>
      <c r="D128" t="s">
        <v>18</v>
      </c>
      <c r="E128" s="1">
        <v>31869</v>
      </c>
      <c r="F128" s="1">
        <v>44512</v>
      </c>
      <c r="G128">
        <v>10</v>
      </c>
      <c r="H128" t="s">
        <v>275</v>
      </c>
      <c r="I128" t="s">
        <v>20</v>
      </c>
      <c r="J128" t="s">
        <v>21</v>
      </c>
      <c r="K128" t="s">
        <v>22</v>
      </c>
      <c r="L128" s="15">
        <v>14250</v>
      </c>
      <c r="M128" t="s">
        <v>32</v>
      </c>
      <c r="P128" t="s">
        <v>276</v>
      </c>
      <c r="Q128" t="str">
        <f>_xlfn.XLOOKUP(angajati__2[[#This Row],[id_departament]],departamente!A:A,departamente!B:B)</f>
        <v>IT</v>
      </c>
      <c r="R128">
        <f t="shared" si="3"/>
        <v>38</v>
      </c>
      <c r="S128">
        <f t="shared" si="4"/>
        <v>4.0999999999999996</v>
      </c>
      <c r="T128" t="str" cm="1">
        <f t="array" ref="T128">_xlfn.IFS(
    S128&lt;1, "&lt; 1 an",
    S128&lt;3, "1–3 ani",
    S128&lt;5, "3–5 ani",
    S128&gt;=5, "&gt; 5 ani"
)</f>
        <v>3–5 ani</v>
      </c>
      <c r="U128">
        <f t="shared" si="5"/>
        <v>0</v>
      </c>
    </row>
    <row r="129" spans="1:21" x14ac:dyDescent="0.3">
      <c r="A129">
        <v>1181</v>
      </c>
      <c r="B129" t="s">
        <v>64</v>
      </c>
      <c r="C129" t="s">
        <v>103</v>
      </c>
      <c r="D129" t="s">
        <v>37</v>
      </c>
      <c r="E129" s="1">
        <v>27549</v>
      </c>
      <c r="F129" s="1">
        <v>43793</v>
      </c>
      <c r="G129">
        <v>70</v>
      </c>
      <c r="H129" t="s">
        <v>38</v>
      </c>
      <c r="I129" t="s">
        <v>39</v>
      </c>
      <c r="J129" t="s">
        <v>31</v>
      </c>
      <c r="K129" t="s">
        <v>22</v>
      </c>
      <c r="L129" s="15">
        <v>7200</v>
      </c>
      <c r="M129" t="s">
        <v>32</v>
      </c>
      <c r="P129" t="s">
        <v>277</v>
      </c>
      <c r="Q129" t="str">
        <f>_xlfn.XLOOKUP(angajati__2[[#This Row],[id_departament]],departamente!A:A,departamente!B:B)</f>
        <v>Operațiuni</v>
      </c>
      <c r="R129">
        <f t="shared" si="3"/>
        <v>50</v>
      </c>
      <c r="S129">
        <f t="shared" si="4"/>
        <v>6.1</v>
      </c>
      <c r="T129" t="str" cm="1">
        <f t="array" ref="T129">_xlfn.IFS(
    S129&lt;1, "&lt; 1 an",
    S129&lt;3, "1–3 ani",
    S129&lt;5, "3–5 ani",
    S129&gt;=5, "&gt; 5 ani"
)</f>
        <v>&gt; 5 ani</v>
      </c>
      <c r="U129">
        <f t="shared" si="5"/>
        <v>0</v>
      </c>
    </row>
    <row r="130" spans="1:21" x14ac:dyDescent="0.3">
      <c r="A130">
        <v>1165</v>
      </c>
      <c r="B130" t="s">
        <v>35</v>
      </c>
      <c r="C130" t="s">
        <v>163</v>
      </c>
      <c r="D130" t="s">
        <v>18</v>
      </c>
      <c r="E130" s="1">
        <v>32804</v>
      </c>
      <c r="F130" s="1">
        <v>45569</v>
      </c>
      <c r="G130">
        <v>60</v>
      </c>
      <c r="H130" t="s">
        <v>78</v>
      </c>
      <c r="I130" t="s">
        <v>39</v>
      </c>
      <c r="J130" t="s">
        <v>31</v>
      </c>
      <c r="K130" t="s">
        <v>22</v>
      </c>
      <c r="L130" s="15">
        <v>5850</v>
      </c>
      <c r="M130" t="s">
        <v>23</v>
      </c>
      <c r="N130" s="1">
        <v>45947</v>
      </c>
      <c r="O130" t="s">
        <v>152</v>
      </c>
      <c r="P130" t="s">
        <v>278</v>
      </c>
      <c r="Q130" t="str">
        <f>_xlfn.XLOOKUP(angajati__2[[#This Row],[id_departament]],departamente!A:A,departamente!B:B)</f>
        <v>Suport Clienți</v>
      </c>
      <c r="R130">
        <f t="shared" ref="R130:R193" si="6">DATEDIF(E130,DATE(2025,12,31), "y")</f>
        <v>36</v>
      </c>
      <c r="S130">
        <f t="shared" ref="S130:S193" si="7">ROUND(YEARFRAC(F130, IF(M130="Plecat", N130, DATE(2025,12,31)), 1), 1)</f>
        <v>1</v>
      </c>
      <c r="T130" t="str" cm="1">
        <f t="array" ref="T130">_xlfn.IFS(
    S130&lt;1, "&lt; 1 an",
    S130&lt;3, "1–3 ani",
    S130&lt;5, "3–5 ani",
    S130&gt;=5, "&gt; 5 ani"
)</f>
        <v>1–3 ani</v>
      </c>
      <c r="U130">
        <f t="shared" ref="U130:U193" si="8">IF(M130="Plecat", 1, 0)</f>
        <v>1</v>
      </c>
    </row>
    <row r="131" spans="1:21" x14ac:dyDescent="0.3">
      <c r="A131">
        <v>1228</v>
      </c>
      <c r="B131" t="s">
        <v>136</v>
      </c>
      <c r="C131" t="s">
        <v>131</v>
      </c>
      <c r="D131" t="s">
        <v>18</v>
      </c>
      <c r="E131" s="1">
        <v>32615</v>
      </c>
      <c r="F131" s="1">
        <v>42791</v>
      </c>
      <c r="G131">
        <v>50</v>
      </c>
      <c r="H131" t="s">
        <v>71</v>
      </c>
      <c r="I131" t="s">
        <v>45</v>
      </c>
      <c r="J131" t="s">
        <v>52</v>
      </c>
      <c r="K131" t="s">
        <v>22</v>
      </c>
      <c r="L131" s="15">
        <v>5100</v>
      </c>
      <c r="M131" t="s">
        <v>23</v>
      </c>
      <c r="N131" s="1">
        <v>45177</v>
      </c>
      <c r="O131" t="s">
        <v>24</v>
      </c>
      <c r="P131" t="s">
        <v>279</v>
      </c>
      <c r="Q131" t="str">
        <f>_xlfn.XLOOKUP(angajati__2[[#This Row],[id_departament]],departamente!A:A,departamente!B:B)</f>
        <v>Financiar</v>
      </c>
      <c r="R131">
        <f t="shared" si="6"/>
        <v>36</v>
      </c>
      <c r="S131">
        <f t="shared" si="7"/>
        <v>6.5</v>
      </c>
      <c r="T131" t="str" cm="1">
        <f t="array" ref="T131">_xlfn.IFS(
    S131&lt;1, "&lt; 1 an",
    S131&lt;3, "1–3 ani",
    S131&lt;5, "3–5 ani",
    S131&gt;=5, "&gt; 5 ani"
)</f>
        <v>&gt; 5 ani</v>
      </c>
      <c r="U131">
        <f t="shared" si="8"/>
        <v>1</v>
      </c>
    </row>
    <row r="132" spans="1:21" x14ac:dyDescent="0.3">
      <c r="A132">
        <v>1176</v>
      </c>
      <c r="B132" t="s">
        <v>73</v>
      </c>
      <c r="C132" t="s">
        <v>247</v>
      </c>
      <c r="D132" t="s">
        <v>18</v>
      </c>
      <c r="E132" s="1">
        <v>31911</v>
      </c>
      <c r="F132" s="1">
        <v>43615</v>
      </c>
      <c r="G132">
        <v>10</v>
      </c>
      <c r="H132" t="s">
        <v>44</v>
      </c>
      <c r="I132" t="s">
        <v>30</v>
      </c>
      <c r="J132" t="s">
        <v>52</v>
      </c>
      <c r="K132" t="s">
        <v>22</v>
      </c>
      <c r="L132" s="15">
        <v>8800</v>
      </c>
      <c r="M132" t="s">
        <v>32</v>
      </c>
      <c r="P132" t="s">
        <v>281</v>
      </c>
      <c r="Q132" t="str">
        <f>_xlfn.XLOOKUP(angajati__2[[#This Row],[id_departament]],departamente!A:A,departamente!B:B)</f>
        <v>IT</v>
      </c>
      <c r="R132">
        <f t="shared" si="6"/>
        <v>38</v>
      </c>
      <c r="S132">
        <f t="shared" si="7"/>
        <v>6.6</v>
      </c>
      <c r="T132" t="str" cm="1">
        <f t="array" ref="T132">_xlfn.IFS(
    S132&lt;1, "&lt; 1 an",
    S132&lt;3, "1–3 ani",
    S132&lt;5, "3–5 ani",
    S132&gt;=5, "&gt; 5 ani"
)</f>
        <v>&gt; 5 ani</v>
      </c>
      <c r="U132">
        <f t="shared" si="8"/>
        <v>0</v>
      </c>
    </row>
    <row r="133" spans="1:21" x14ac:dyDescent="0.3">
      <c r="A133">
        <v>1263</v>
      </c>
      <c r="B133" t="s">
        <v>180</v>
      </c>
      <c r="C133" t="s">
        <v>194</v>
      </c>
      <c r="D133" t="s">
        <v>37</v>
      </c>
      <c r="E133" s="1">
        <v>33842</v>
      </c>
      <c r="F133" s="1">
        <v>44909</v>
      </c>
      <c r="G133">
        <v>20</v>
      </c>
      <c r="H133" t="s">
        <v>68</v>
      </c>
      <c r="I133" t="s">
        <v>30</v>
      </c>
      <c r="J133" t="s">
        <v>21</v>
      </c>
      <c r="K133" t="s">
        <v>22</v>
      </c>
      <c r="L133" s="15">
        <v>5000</v>
      </c>
      <c r="M133" t="s">
        <v>32</v>
      </c>
      <c r="P133" t="s">
        <v>283</v>
      </c>
      <c r="Q133" t="str">
        <f>_xlfn.XLOOKUP(angajati__2[[#This Row],[id_departament]],departamente!A:A,departamente!B:B)</f>
        <v>Vânzări</v>
      </c>
      <c r="R133">
        <f t="shared" si="6"/>
        <v>33</v>
      </c>
      <c r="S133">
        <f t="shared" si="7"/>
        <v>3</v>
      </c>
      <c r="T133" t="str" cm="1">
        <f t="array" ref="T133">_xlfn.IFS(
    S133&lt;1, "&lt; 1 an",
    S133&lt;3, "1–3 ani",
    S133&lt;5, "3–5 ani",
    S133&gt;=5, "&gt; 5 ani"
)</f>
        <v>3–5 ani</v>
      </c>
      <c r="U133">
        <f t="shared" si="8"/>
        <v>0</v>
      </c>
    </row>
    <row r="134" spans="1:21" x14ac:dyDescent="0.3">
      <c r="A134">
        <v>1249</v>
      </c>
      <c r="B134" t="s">
        <v>26</v>
      </c>
      <c r="C134" t="s">
        <v>247</v>
      </c>
      <c r="D134" t="s">
        <v>18</v>
      </c>
      <c r="E134" s="1">
        <v>34579</v>
      </c>
      <c r="F134" s="1">
        <v>43820</v>
      </c>
      <c r="G134">
        <v>30</v>
      </c>
      <c r="H134" t="s">
        <v>209</v>
      </c>
      <c r="I134" t="s">
        <v>45</v>
      </c>
      <c r="J134" t="s">
        <v>52</v>
      </c>
      <c r="K134" t="s">
        <v>22</v>
      </c>
      <c r="L134" s="15">
        <v>3950</v>
      </c>
      <c r="M134" t="s">
        <v>32</v>
      </c>
      <c r="P134" t="s">
        <v>285</v>
      </c>
      <c r="Q134" t="str">
        <f>_xlfn.XLOOKUP(angajati__2[[#This Row],[id_departament]],departamente!A:A,departamente!B:B)</f>
        <v>Marketing</v>
      </c>
      <c r="R134">
        <f t="shared" si="6"/>
        <v>31</v>
      </c>
      <c r="S134">
        <f t="shared" si="7"/>
        <v>6</v>
      </c>
      <c r="T134" t="str" cm="1">
        <f t="array" ref="T134">_xlfn.IFS(
    S134&lt;1, "&lt; 1 an",
    S134&lt;3, "1–3 ani",
    S134&lt;5, "3–5 ani",
    S134&gt;=5, "&gt; 5 ani"
)</f>
        <v>&gt; 5 ani</v>
      </c>
      <c r="U134">
        <f t="shared" si="8"/>
        <v>0</v>
      </c>
    </row>
    <row r="135" spans="1:21" x14ac:dyDescent="0.3">
      <c r="A135">
        <v>1438</v>
      </c>
      <c r="B135" t="s">
        <v>54</v>
      </c>
      <c r="C135" t="s">
        <v>206</v>
      </c>
      <c r="D135" t="s">
        <v>18</v>
      </c>
      <c r="E135" s="1">
        <v>33496</v>
      </c>
      <c r="F135" s="1">
        <v>42888</v>
      </c>
      <c r="G135">
        <v>20</v>
      </c>
      <c r="H135" t="s">
        <v>68</v>
      </c>
      <c r="I135" t="s">
        <v>30</v>
      </c>
      <c r="J135" t="s">
        <v>21</v>
      </c>
      <c r="K135" t="s">
        <v>22</v>
      </c>
      <c r="L135" s="15">
        <v>5550</v>
      </c>
      <c r="M135" t="s">
        <v>32</v>
      </c>
      <c r="P135" t="s">
        <v>286</v>
      </c>
      <c r="Q135" t="str">
        <f>_xlfn.XLOOKUP(angajati__2[[#This Row],[id_departament]],departamente!A:A,departamente!B:B)</f>
        <v>Vânzări</v>
      </c>
      <c r="R135">
        <f t="shared" si="6"/>
        <v>34</v>
      </c>
      <c r="S135">
        <f t="shared" si="7"/>
        <v>8.6</v>
      </c>
      <c r="T135" t="str" cm="1">
        <f t="array" ref="T135">_xlfn.IFS(
    S135&lt;1, "&lt; 1 an",
    S135&lt;3, "1–3 ani",
    S135&lt;5, "3–5 ani",
    S135&gt;=5, "&gt; 5 ani"
)</f>
        <v>&gt; 5 ani</v>
      </c>
      <c r="U135">
        <f t="shared" si="8"/>
        <v>0</v>
      </c>
    </row>
    <row r="136" spans="1:21" x14ac:dyDescent="0.3">
      <c r="A136">
        <v>1269</v>
      </c>
      <c r="B136" t="s">
        <v>150</v>
      </c>
      <c r="C136" t="s">
        <v>247</v>
      </c>
      <c r="D136" t="s">
        <v>18</v>
      </c>
      <c r="E136" s="1">
        <v>33609</v>
      </c>
      <c r="F136" s="1">
        <v>44552</v>
      </c>
      <c r="G136">
        <v>50</v>
      </c>
      <c r="H136" t="s">
        <v>71</v>
      </c>
      <c r="I136" t="s">
        <v>45</v>
      </c>
      <c r="J136" t="s">
        <v>52</v>
      </c>
      <c r="K136" t="s">
        <v>22</v>
      </c>
      <c r="L136" s="15">
        <v>5150</v>
      </c>
      <c r="M136" t="s">
        <v>32</v>
      </c>
      <c r="P136" t="s">
        <v>287</v>
      </c>
      <c r="Q136" t="str">
        <f>_xlfn.XLOOKUP(angajati__2[[#This Row],[id_departament]],departamente!A:A,departamente!B:B)</f>
        <v>Financiar</v>
      </c>
      <c r="R136">
        <f t="shared" si="6"/>
        <v>33</v>
      </c>
      <c r="S136">
        <f t="shared" si="7"/>
        <v>4</v>
      </c>
      <c r="T136" t="str" cm="1">
        <f t="array" ref="T136">_xlfn.IFS(
    S136&lt;1, "&lt; 1 an",
    S136&lt;3, "1–3 ani",
    S136&lt;5, "3–5 ani",
    S136&gt;=5, "&gt; 5 ani"
)</f>
        <v>3–5 ani</v>
      </c>
      <c r="U136">
        <f t="shared" si="8"/>
        <v>0</v>
      </c>
    </row>
    <row r="137" spans="1:21" x14ac:dyDescent="0.3">
      <c r="A137">
        <v>1129</v>
      </c>
      <c r="B137" t="s">
        <v>94</v>
      </c>
      <c r="C137" t="s">
        <v>103</v>
      </c>
      <c r="D137" t="s">
        <v>37</v>
      </c>
      <c r="E137" s="1">
        <v>36034</v>
      </c>
      <c r="F137" s="1">
        <v>45013</v>
      </c>
      <c r="G137">
        <v>10</v>
      </c>
      <c r="H137" t="s">
        <v>49</v>
      </c>
      <c r="I137" t="s">
        <v>45</v>
      </c>
      <c r="J137" t="s">
        <v>46</v>
      </c>
      <c r="K137" t="s">
        <v>22</v>
      </c>
      <c r="L137" s="15">
        <v>6050</v>
      </c>
      <c r="M137" t="s">
        <v>23</v>
      </c>
      <c r="N137" s="1">
        <v>45949</v>
      </c>
      <c r="O137" t="s">
        <v>105</v>
      </c>
      <c r="P137" t="s">
        <v>288</v>
      </c>
      <c r="Q137" t="str">
        <f>_xlfn.XLOOKUP(angajati__2[[#This Row],[id_departament]],departamente!A:A,departamente!B:B)</f>
        <v>IT</v>
      </c>
      <c r="R137">
        <f t="shared" si="6"/>
        <v>27</v>
      </c>
      <c r="S137">
        <f t="shared" si="7"/>
        <v>2.6</v>
      </c>
      <c r="T137" t="str" cm="1">
        <f t="array" ref="T137">_xlfn.IFS(
    S137&lt;1, "&lt; 1 an",
    S137&lt;3, "1–3 ani",
    S137&lt;5, "3–5 ani",
    S137&gt;=5, "&gt; 5 ani"
)</f>
        <v>1–3 ani</v>
      </c>
      <c r="U137">
        <f t="shared" si="8"/>
        <v>1</v>
      </c>
    </row>
    <row r="138" spans="1:21" x14ac:dyDescent="0.3">
      <c r="A138">
        <v>1458</v>
      </c>
      <c r="B138" t="s">
        <v>134</v>
      </c>
      <c r="C138" t="s">
        <v>247</v>
      </c>
      <c r="D138" t="s">
        <v>18</v>
      </c>
      <c r="E138" s="1">
        <v>31327</v>
      </c>
      <c r="F138" s="1">
        <v>43317</v>
      </c>
      <c r="G138">
        <v>60</v>
      </c>
      <c r="H138" t="s">
        <v>29</v>
      </c>
      <c r="I138" t="s">
        <v>30</v>
      </c>
      <c r="J138" t="s">
        <v>52</v>
      </c>
      <c r="K138" t="s">
        <v>22</v>
      </c>
      <c r="L138" s="15">
        <v>3450</v>
      </c>
      <c r="M138" t="s">
        <v>32</v>
      </c>
      <c r="P138" t="s">
        <v>289</v>
      </c>
      <c r="Q138" t="str">
        <f>_xlfn.XLOOKUP(angajati__2[[#This Row],[id_departament]],departamente!A:A,departamente!B:B)</f>
        <v>Suport Clienți</v>
      </c>
      <c r="R138">
        <f t="shared" si="6"/>
        <v>40</v>
      </c>
      <c r="S138">
        <f t="shared" si="7"/>
        <v>7.4</v>
      </c>
      <c r="T138" t="str" cm="1">
        <f t="array" ref="T138">_xlfn.IFS(
    S138&lt;1, "&lt; 1 an",
    S138&lt;3, "1–3 ani",
    S138&lt;5, "3–5 ani",
    S138&gt;=5, "&gt; 5 ani"
)</f>
        <v>&gt; 5 ani</v>
      </c>
      <c r="U138">
        <f t="shared" si="8"/>
        <v>0</v>
      </c>
    </row>
    <row r="139" spans="1:21" x14ac:dyDescent="0.3">
      <c r="A139">
        <v>1124</v>
      </c>
      <c r="B139" t="s">
        <v>85</v>
      </c>
      <c r="C139" t="s">
        <v>43</v>
      </c>
      <c r="D139" t="s">
        <v>37</v>
      </c>
      <c r="E139" s="1">
        <v>34593</v>
      </c>
      <c r="F139" s="1">
        <v>43723</v>
      </c>
      <c r="G139">
        <v>20</v>
      </c>
      <c r="H139" t="s">
        <v>104</v>
      </c>
      <c r="I139" t="s">
        <v>45</v>
      </c>
      <c r="J139" t="s">
        <v>21</v>
      </c>
      <c r="K139" t="s">
        <v>22</v>
      </c>
      <c r="L139" s="15">
        <v>3450</v>
      </c>
      <c r="M139" t="s">
        <v>32</v>
      </c>
      <c r="P139" t="s">
        <v>290</v>
      </c>
      <c r="Q139" t="str">
        <f>_xlfn.XLOOKUP(angajati__2[[#This Row],[id_departament]],departamente!A:A,departamente!B:B)</f>
        <v>Vânzări</v>
      </c>
      <c r="R139">
        <f t="shared" si="6"/>
        <v>31</v>
      </c>
      <c r="S139">
        <f t="shared" si="7"/>
        <v>6.3</v>
      </c>
      <c r="T139" t="str" cm="1">
        <f t="array" ref="T139">_xlfn.IFS(
    S139&lt;1, "&lt; 1 an",
    S139&lt;3, "1–3 ani",
    S139&lt;5, "3–5 ani",
    S139&gt;=5, "&gt; 5 ani"
)</f>
        <v>&gt; 5 ani</v>
      </c>
      <c r="U139">
        <f t="shared" si="8"/>
        <v>0</v>
      </c>
    </row>
    <row r="140" spans="1:21" x14ac:dyDescent="0.3">
      <c r="A140">
        <v>1328</v>
      </c>
      <c r="B140" t="s">
        <v>150</v>
      </c>
      <c r="C140" t="s">
        <v>200</v>
      </c>
      <c r="D140" t="s">
        <v>18</v>
      </c>
      <c r="E140" s="1">
        <v>34238</v>
      </c>
      <c r="F140" s="1">
        <v>44831</v>
      </c>
      <c r="G140">
        <v>30</v>
      </c>
      <c r="H140" t="s">
        <v>209</v>
      </c>
      <c r="I140" t="s">
        <v>39</v>
      </c>
      <c r="J140" t="s">
        <v>46</v>
      </c>
      <c r="K140" t="s">
        <v>22</v>
      </c>
      <c r="L140" s="15">
        <v>10450</v>
      </c>
      <c r="M140" t="s">
        <v>32</v>
      </c>
      <c r="P140" t="s">
        <v>291</v>
      </c>
      <c r="Q140" t="str">
        <f>_xlfn.XLOOKUP(angajati__2[[#This Row],[id_departament]],departamente!A:A,departamente!B:B)</f>
        <v>Marketing</v>
      </c>
      <c r="R140">
        <f t="shared" si="6"/>
        <v>32</v>
      </c>
      <c r="S140">
        <f t="shared" si="7"/>
        <v>3.3</v>
      </c>
      <c r="T140" t="str" cm="1">
        <f t="array" ref="T140">_xlfn.IFS(
    S140&lt;1, "&lt; 1 an",
    S140&lt;3, "1–3 ani",
    S140&lt;5, "3–5 ani",
    S140&gt;=5, "&gt; 5 ani"
)</f>
        <v>3–5 ani</v>
      </c>
      <c r="U140">
        <f t="shared" si="8"/>
        <v>0</v>
      </c>
    </row>
    <row r="141" spans="1:21" x14ac:dyDescent="0.3">
      <c r="A141">
        <v>1289</v>
      </c>
      <c r="B141" t="s">
        <v>134</v>
      </c>
      <c r="C141" t="s">
        <v>200</v>
      </c>
      <c r="D141" t="s">
        <v>18</v>
      </c>
      <c r="E141" s="1">
        <v>29810</v>
      </c>
      <c r="F141" s="1">
        <v>44133</v>
      </c>
      <c r="G141">
        <v>60</v>
      </c>
      <c r="H141" t="s">
        <v>19</v>
      </c>
      <c r="I141" t="s">
        <v>20</v>
      </c>
      <c r="J141" t="s">
        <v>52</v>
      </c>
      <c r="K141" t="s">
        <v>22</v>
      </c>
      <c r="L141" s="15">
        <v>8600</v>
      </c>
      <c r="M141" t="s">
        <v>32</v>
      </c>
      <c r="P141" t="s">
        <v>292</v>
      </c>
      <c r="Q141" t="str">
        <f>_xlfn.XLOOKUP(angajati__2[[#This Row],[id_departament]],departamente!A:A,departamente!B:B)</f>
        <v>Suport Clienți</v>
      </c>
      <c r="R141">
        <f t="shared" si="6"/>
        <v>44</v>
      </c>
      <c r="S141">
        <f t="shared" si="7"/>
        <v>5.2</v>
      </c>
      <c r="T141" t="str" cm="1">
        <f t="array" ref="T141">_xlfn.IFS(
    S141&lt;1, "&lt; 1 an",
    S141&lt;3, "1–3 ani",
    S141&lt;5, "3–5 ani",
    S141&gt;=5, "&gt; 5 ani"
)</f>
        <v>&gt; 5 ani</v>
      </c>
      <c r="U141">
        <f t="shared" si="8"/>
        <v>0</v>
      </c>
    </row>
    <row r="142" spans="1:21" x14ac:dyDescent="0.3">
      <c r="A142">
        <v>1234</v>
      </c>
      <c r="B142" t="s">
        <v>48</v>
      </c>
      <c r="C142" t="s">
        <v>163</v>
      </c>
      <c r="D142" t="s">
        <v>18</v>
      </c>
      <c r="E142" s="1">
        <v>33710</v>
      </c>
      <c r="F142" s="1">
        <v>43059</v>
      </c>
      <c r="G142">
        <v>10</v>
      </c>
      <c r="H142" t="s">
        <v>49</v>
      </c>
      <c r="I142" t="s">
        <v>45</v>
      </c>
      <c r="J142" t="s">
        <v>21</v>
      </c>
      <c r="K142" t="s">
        <v>40</v>
      </c>
      <c r="L142" s="15">
        <v>6550</v>
      </c>
      <c r="M142" t="s">
        <v>23</v>
      </c>
      <c r="N142" s="1">
        <v>45180</v>
      </c>
      <c r="O142" t="s">
        <v>105</v>
      </c>
      <c r="P142" t="s">
        <v>293</v>
      </c>
      <c r="Q142" t="str">
        <f>_xlfn.XLOOKUP(angajati__2[[#This Row],[id_departament]],departamente!A:A,departamente!B:B)</f>
        <v>IT</v>
      </c>
      <c r="R142">
        <f t="shared" si="6"/>
        <v>33</v>
      </c>
      <c r="S142">
        <f t="shared" si="7"/>
        <v>5.8</v>
      </c>
      <c r="T142" t="str" cm="1">
        <f t="array" ref="T142">_xlfn.IFS(
    S142&lt;1, "&lt; 1 an",
    S142&lt;3, "1–3 ani",
    S142&lt;5, "3–5 ani",
    S142&gt;=5, "&gt; 5 ani"
)</f>
        <v>&gt; 5 ani</v>
      </c>
      <c r="U142">
        <f t="shared" si="8"/>
        <v>1</v>
      </c>
    </row>
    <row r="143" spans="1:21" x14ac:dyDescent="0.3">
      <c r="A143">
        <v>1099</v>
      </c>
      <c r="B143" t="s">
        <v>54</v>
      </c>
      <c r="C143" t="s">
        <v>198</v>
      </c>
      <c r="D143" t="s">
        <v>18</v>
      </c>
      <c r="E143" s="1">
        <v>33476</v>
      </c>
      <c r="F143" s="1">
        <v>42403</v>
      </c>
      <c r="G143">
        <v>10</v>
      </c>
      <c r="H143" t="s">
        <v>87</v>
      </c>
      <c r="I143" t="s">
        <v>45</v>
      </c>
      <c r="J143" t="s">
        <v>21</v>
      </c>
      <c r="K143" t="s">
        <v>22</v>
      </c>
      <c r="L143" s="15">
        <v>6350</v>
      </c>
      <c r="M143" t="s">
        <v>32</v>
      </c>
      <c r="P143" t="s">
        <v>294</v>
      </c>
      <c r="Q143" t="str">
        <f>_xlfn.XLOOKUP(angajati__2[[#This Row],[id_departament]],departamente!A:A,departamente!B:B)</f>
        <v>IT</v>
      </c>
      <c r="R143">
        <f t="shared" si="6"/>
        <v>34</v>
      </c>
      <c r="S143">
        <f t="shared" si="7"/>
        <v>9.9</v>
      </c>
      <c r="T143" t="str" cm="1">
        <f t="array" ref="T143">_xlfn.IFS(
    S143&lt;1, "&lt; 1 an",
    S143&lt;3, "1–3 ani",
    S143&lt;5, "3–5 ani",
    S143&gt;=5, "&gt; 5 ani"
)</f>
        <v>&gt; 5 ani</v>
      </c>
      <c r="U143">
        <f t="shared" si="8"/>
        <v>0</v>
      </c>
    </row>
    <row r="144" spans="1:21" x14ac:dyDescent="0.3">
      <c r="A144">
        <v>1240</v>
      </c>
      <c r="B144" t="s">
        <v>157</v>
      </c>
      <c r="C144" t="s">
        <v>171</v>
      </c>
      <c r="D144" t="s">
        <v>18</v>
      </c>
      <c r="E144" s="1">
        <v>35144</v>
      </c>
      <c r="F144" s="1">
        <v>42925</v>
      </c>
      <c r="G144">
        <v>20</v>
      </c>
      <c r="H144" t="s">
        <v>104</v>
      </c>
      <c r="I144" t="s">
        <v>45</v>
      </c>
      <c r="J144" t="s">
        <v>21</v>
      </c>
      <c r="K144" t="s">
        <v>22</v>
      </c>
      <c r="L144" s="15">
        <v>3500</v>
      </c>
      <c r="M144" t="s">
        <v>32</v>
      </c>
      <c r="P144" t="s">
        <v>295</v>
      </c>
      <c r="Q144" t="str">
        <f>_xlfn.XLOOKUP(angajati__2[[#This Row],[id_departament]],departamente!A:A,departamente!B:B)</f>
        <v>Vânzări</v>
      </c>
      <c r="R144">
        <f t="shared" si="6"/>
        <v>29</v>
      </c>
      <c r="S144">
        <f t="shared" si="7"/>
        <v>8.5</v>
      </c>
      <c r="T144" t="str" cm="1">
        <f t="array" ref="T144">_xlfn.IFS(
    S144&lt;1, "&lt; 1 an",
    S144&lt;3, "1–3 ani",
    S144&lt;5, "3–5 ani",
    S144&gt;=5, "&gt; 5 ani"
)</f>
        <v>&gt; 5 ani</v>
      </c>
      <c r="U144">
        <f t="shared" si="8"/>
        <v>0</v>
      </c>
    </row>
    <row r="145" spans="1:21" x14ac:dyDescent="0.3">
      <c r="A145">
        <v>1288</v>
      </c>
      <c r="B145" t="s">
        <v>188</v>
      </c>
      <c r="C145" t="s">
        <v>110</v>
      </c>
      <c r="D145" t="s">
        <v>37</v>
      </c>
      <c r="E145" s="1">
        <v>32306</v>
      </c>
      <c r="F145" s="1">
        <v>43167</v>
      </c>
      <c r="G145">
        <v>70</v>
      </c>
      <c r="H145" t="s">
        <v>116</v>
      </c>
      <c r="I145" t="s">
        <v>45</v>
      </c>
      <c r="J145" t="s">
        <v>31</v>
      </c>
      <c r="K145" t="s">
        <v>22</v>
      </c>
      <c r="L145" s="15">
        <v>4400</v>
      </c>
      <c r="M145" t="s">
        <v>23</v>
      </c>
      <c r="N145" s="1">
        <v>44584</v>
      </c>
      <c r="O145" t="s">
        <v>117</v>
      </c>
      <c r="P145" t="s">
        <v>297</v>
      </c>
      <c r="Q145" t="str">
        <f>_xlfn.XLOOKUP(angajati__2[[#This Row],[id_departament]],departamente!A:A,departamente!B:B)</f>
        <v>Operațiuni</v>
      </c>
      <c r="R145">
        <f t="shared" si="6"/>
        <v>37</v>
      </c>
      <c r="S145">
        <f t="shared" si="7"/>
        <v>3.9</v>
      </c>
      <c r="T145" t="str" cm="1">
        <f t="array" ref="T145">_xlfn.IFS(
    S145&lt;1, "&lt; 1 an",
    S145&lt;3, "1–3 ani",
    S145&lt;5, "3–5 ani",
    S145&gt;=5, "&gt; 5 ani"
)</f>
        <v>3–5 ani</v>
      </c>
      <c r="U145">
        <f t="shared" si="8"/>
        <v>1</v>
      </c>
    </row>
    <row r="146" spans="1:21" x14ac:dyDescent="0.3">
      <c r="A146">
        <v>1158</v>
      </c>
      <c r="B146" t="s">
        <v>188</v>
      </c>
      <c r="C146" t="s">
        <v>213</v>
      </c>
      <c r="D146" t="s">
        <v>18</v>
      </c>
      <c r="E146" s="1">
        <v>32819</v>
      </c>
      <c r="F146" s="1">
        <v>45071</v>
      </c>
      <c r="G146">
        <v>10</v>
      </c>
      <c r="H146" t="s">
        <v>275</v>
      </c>
      <c r="I146" t="s">
        <v>20</v>
      </c>
      <c r="J146" t="s">
        <v>21</v>
      </c>
      <c r="K146" t="s">
        <v>22</v>
      </c>
      <c r="L146" s="15">
        <v>17450</v>
      </c>
      <c r="M146" t="s">
        <v>23</v>
      </c>
      <c r="N146" s="1">
        <v>45996</v>
      </c>
      <c r="O146" t="s">
        <v>687</v>
      </c>
      <c r="P146" t="s">
        <v>298</v>
      </c>
      <c r="Q146" t="str">
        <f>_xlfn.XLOOKUP(angajati__2[[#This Row],[id_departament]],departamente!A:A,departamente!B:B)</f>
        <v>IT</v>
      </c>
      <c r="R146">
        <f t="shared" si="6"/>
        <v>36</v>
      </c>
      <c r="S146">
        <f t="shared" si="7"/>
        <v>2.5</v>
      </c>
      <c r="T146" t="str" cm="1">
        <f t="array" ref="T146">_xlfn.IFS(
    S146&lt;1, "&lt; 1 an",
    S146&lt;3, "1–3 ani",
    S146&lt;5, "3–5 ani",
    S146&gt;=5, "&gt; 5 ani"
)</f>
        <v>1–3 ani</v>
      </c>
      <c r="U146">
        <f t="shared" si="8"/>
        <v>1</v>
      </c>
    </row>
    <row r="147" spans="1:21" x14ac:dyDescent="0.3">
      <c r="A147">
        <v>1187</v>
      </c>
      <c r="B147" t="s">
        <v>180</v>
      </c>
      <c r="C147" t="s">
        <v>110</v>
      </c>
      <c r="D147" t="s">
        <v>37</v>
      </c>
      <c r="E147" s="1">
        <v>29944</v>
      </c>
      <c r="F147" s="1">
        <v>44487</v>
      </c>
      <c r="G147">
        <v>30</v>
      </c>
      <c r="H147" t="s">
        <v>56</v>
      </c>
      <c r="I147" t="s">
        <v>39</v>
      </c>
      <c r="J147" t="s">
        <v>46</v>
      </c>
      <c r="K147" t="s">
        <v>22</v>
      </c>
      <c r="L147" s="15">
        <v>8800</v>
      </c>
      <c r="M147" t="s">
        <v>32</v>
      </c>
      <c r="P147" t="s">
        <v>299</v>
      </c>
      <c r="Q147" t="str">
        <f>_xlfn.XLOOKUP(angajati__2[[#This Row],[id_departament]],departamente!A:A,departamente!B:B)</f>
        <v>Marketing</v>
      </c>
      <c r="R147">
        <f t="shared" si="6"/>
        <v>44</v>
      </c>
      <c r="S147">
        <f t="shared" si="7"/>
        <v>4.2</v>
      </c>
      <c r="T147" t="str" cm="1">
        <f t="array" ref="T147">_xlfn.IFS(
    S147&lt;1, "&lt; 1 an",
    S147&lt;3, "1–3 ani",
    S147&lt;5, "3–5 ani",
    S147&gt;=5, "&gt; 5 ani"
)</f>
        <v>3–5 ani</v>
      </c>
      <c r="U147">
        <f t="shared" si="8"/>
        <v>0</v>
      </c>
    </row>
    <row r="148" spans="1:21" x14ac:dyDescent="0.3">
      <c r="A148">
        <v>1210</v>
      </c>
      <c r="B148" t="s">
        <v>80</v>
      </c>
      <c r="C148" t="s">
        <v>36</v>
      </c>
      <c r="D148" t="s">
        <v>37</v>
      </c>
      <c r="E148" s="1">
        <v>29824</v>
      </c>
      <c r="F148" s="1">
        <v>45395</v>
      </c>
      <c r="G148">
        <v>30</v>
      </c>
      <c r="H148" t="s">
        <v>56</v>
      </c>
      <c r="I148" t="s">
        <v>30</v>
      </c>
      <c r="J148" t="s">
        <v>46</v>
      </c>
      <c r="K148" t="s">
        <v>40</v>
      </c>
      <c r="L148" s="15">
        <v>5900</v>
      </c>
      <c r="M148" t="s">
        <v>32</v>
      </c>
      <c r="P148" t="s">
        <v>300</v>
      </c>
      <c r="Q148" t="str">
        <f>_xlfn.XLOOKUP(angajati__2[[#This Row],[id_departament]],departamente!A:A,departamente!B:B)</f>
        <v>Marketing</v>
      </c>
      <c r="R148">
        <f t="shared" si="6"/>
        <v>44</v>
      </c>
      <c r="S148">
        <f t="shared" si="7"/>
        <v>1.7</v>
      </c>
      <c r="T148" t="str" cm="1">
        <f t="array" ref="T148">_xlfn.IFS(
    S148&lt;1, "&lt; 1 an",
    S148&lt;3, "1–3 ani",
    S148&lt;5, "3–5 ani",
    S148&gt;=5, "&gt; 5 ani"
)</f>
        <v>1–3 ani</v>
      </c>
      <c r="U148">
        <f t="shared" si="8"/>
        <v>0</v>
      </c>
    </row>
    <row r="149" spans="1:21" x14ac:dyDescent="0.3">
      <c r="A149">
        <v>1346</v>
      </c>
      <c r="B149" t="s">
        <v>80</v>
      </c>
      <c r="C149" t="s">
        <v>247</v>
      </c>
      <c r="D149" t="s">
        <v>18</v>
      </c>
      <c r="E149" s="1">
        <v>29113</v>
      </c>
      <c r="F149" s="1">
        <v>45658</v>
      </c>
      <c r="G149">
        <v>20</v>
      </c>
      <c r="H149" t="s">
        <v>68</v>
      </c>
      <c r="I149" t="s">
        <v>39</v>
      </c>
      <c r="J149" t="s">
        <v>52</v>
      </c>
      <c r="K149" t="s">
        <v>22</v>
      </c>
      <c r="L149" s="15">
        <v>8150</v>
      </c>
      <c r="M149" t="s">
        <v>23</v>
      </c>
      <c r="N149" s="1">
        <v>45988</v>
      </c>
      <c r="O149" t="s">
        <v>117</v>
      </c>
      <c r="P149" t="s">
        <v>302</v>
      </c>
      <c r="Q149" t="str">
        <f>_xlfn.XLOOKUP(angajati__2[[#This Row],[id_departament]],departamente!A:A,departamente!B:B)</f>
        <v>Vânzări</v>
      </c>
      <c r="R149">
        <f t="shared" si="6"/>
        <v>46</v>
      </c>
      <c r="S149">
        <f t="shared" si="7"/>
        <v>0.9</v>
      </c>
      <c r="T149" t="str" cm="1">
        <f t="array" ref="T149">_xlfn.IFS(
    S149&lt;1, "&lt; 1 an",
    S149&lt;3, "1–3 ani",
    S149&lt;5, "3–5 ani",
    S149&gt;=5, "&gt; 5 ani"
)</f>
        <v>&lt; 1 an</v>
      </c>
      <c r="U149">
        <f t="shared" si="8"/>
        <v>1</v>
      </c>
    </row>
    <row r="150" spans="1:21" x14ac:dyDescent="0.3">
      <c r="A150">
        <v>1292</v>
      </c>
      <c r="B150" t="s">
        <v>64</v>
      </c>
      <c r="C150" t="s">
        <v>103</v>
      </c>
      <c r="D150" t="s">
        <v>37</v>
      </c>
      <c r="E150" s="1">
        <v>34319</v>
      </c>
      <c r="F150" s="1">
        <v>42677</v>
      </c>
      <c r="G150">
        <v>70</v>
      </c>
      <c r="H150" t="s">
        <v>38</v>
      </c>
      <c r="I150" t="s">
        <v>45</v>
      </c>
      <c r="J150" t="s">
        <v>21</v>
      </c>
      <c r="K150" t="s">
        <v>22</v>
      </c>
      <c r="L150" s="15">
        <v>3600</v>
      </c>
      <c r="M150" t="s">
        <v>23</v>
      </c>
      <c r="N150" s="1">
        <v>45597</v>
      </c>
      <c r="O150" t="s">
        <v>186</v>
      </c>
      <c r="P150" t="s">
        <v>303</v>
      </c>
      <c r="Q150" t="str">
        <f>_xlfn.XLOOKUP(angajati__2[[#This Row],[id_departament]],departamente!A:A,departamente!B:B)</f>
        <v>Operațiuni</v>
      </c>
      <c r="R150">
        <f t="shared" si="6"/>
        <v>32</v>
      </c>
      <c r="S150">
        <f t="shared" si="7"/>
        <v>8</v>
      </c>
      <c r="T150" t="str" cm="1">
        <f t="array" ref="T150">_xlfn.IFS(
    S150&lt;1, "&lt; 1 an",
    S150&lt;3, "1–3 ani",
    S150&lt;5, "3–5 ani",
    S150&gt;=5, "&gt; 5 ani"
)</f>
        <v>&gt; 5 ani</v>
      </c>
      <c r="U150">
        <f t="shared" si="8"/>
        <v>1</v>
      </c>
    </row>
    <row r="151" spans="1:21" x14ac:dyDescent="0.3">
      <c r="A151">
        <v>1304</v>
      </c>
      <c r="B151" t="s">
        <v>67</v>
      </c>
      <c r="C151" t="s">
        <v>198</v>
      </c>
      <c r="D151" t="s">
        <v>18</v>
      </c>
      <c r="E151" s="1">
        <v>30598</v>
      </c>
      <c r="F151" s="1">
        <v>45418</v>
      </c>
      <c r="G151">
        <v>60</v>
      </c>
      <c r="H151" t="s">
        <v>29</v>
      </c>
      <c r="I151" t="s">
        <v>45</v>
      </c>
      <c r="J151" t="s">
        <v>52</v>
      </c>
      <c r="K151" t="s">
        <v>22</v>
      </c>
      <c r="L151" s="15">
        <v>2750</v>
      </c>
      <c r="M151" t="s">
        <v>32</v>
      </c>
      <c r="P151" t="s">
        <v>304</v>
      </c>
      <c r="Q151" t="str">
        <f>_xlfn.XLOOKUP(angajati__2[[#This Row],[id_departament]],departamente!A:A,departamente!B:B)</f>
        <v>Suport Clienți</v>
      </c>
      <c r="R151">
        <f t="shared" si="6"/>
        <v>42</v>
      </c>
      <c r="S151">
        <f t="shared" si="7"/>
        <v>1.7</v>
      </c>
      <c r="T151" t="str" cm="1">
        <f t="array" ref="T151">_xlfn.IFS(
    S151&lt;1, "&lt; 1 an",
    S151&lt;3, "1–3 ani",
    S151&lt;5, "3–5 ani",
    S151&gt;=5, "&gt; 5 ani"
)</f>
        <v>1–3 ani</v>
      </c>
      <c r="U151">
        <f t="shared" si="8"/>
        <v>0</v>
      </c>
    </row>
    <row r="152" spans="1:21" x14ac:dyDescent="0.3">
      <c r="A152">
        <v>1349</v>
      </c>
      <c r="B152" t="s">
        <v>54</v>
      </c>
      <c r="C152" t="s">
        <v>65</v>
      </c>
      <c r="D152" t="s">
        <v>18</v>
      </c>
      <c r="E152" s="1">
        <v>33307</v>
      </c>
      <c r="F152" s="1">
        <v>43754</v>
      </c>
      <c r="G152">
        <v>10</v>
      </c>
      <c r="H152" t="s">
        <v>49</v>
      </c>
      <c r="I152" t="s">
        <v>45</v>
      </c>
      <c r="J152" t="s">
        <v>21</v>
      </c>
      <c r="K152" t="s">
        <v>40</v>
      </c>
      <c r="L152" s="15">
        <v>5900</v>
      </c>
      <c r="M152" t="s">
        <v>32</v>
      </c>
      <c r="P152" t="s">
        <v>305</v>
      </c>
      <c r="Q152" t="str">
        <f>_xlfn.XLOOKUP(angajati__2[[#This Row],[id_departament]],departamente!A:A,departamente!B:B)</f>
        <v>IT</v>
      </c>
      <c r="R152">
        <f t="shared" si="6"/>
        <v>34</v>
      </c>
      <c r="S152">
        <f t="shared" si="7"/>
        <v>6.2</v>
      </c>
      <c r="T152" t="str" cm="1">
        <f t="array" ref="T152">_xlfn.IFS(
    S152&lt;1, "&lt; 1 an",
    S152&lt;3, "1–3 ani",
    S152&lt;5, "3–5 ani",
    S152&gt;=5, "&gt; 5 ani"
)</f>
        <v>&gt; 5 ani</v>
      </c>
      <c r="U152">
        <f t="shared" si="8"/>
        <v>0</v>
      </c>
    </row>
    <row r="153" spans="1:21" x14ac:dyDescent="0.3">
      <c r="A153">
        <v>1419</v>
      </c>
      <c r="B153" t="s">
        <v>164</v>
      </c>
      <c r="C153" t="s">
        <v>119</v>
      </c>
      <c r="D153" t="s">
        <v>18</v>
      </c>
      <c r="E153" s="1">
        <v>30647</v>
      </c>
      <c r="F153" s="1">
        <v>44906</v>
      </c>
      <c r="G153">
        <v>20</v>
      </c>
      <c r="H153" t="s">
        <v>104</v>
      </c>
      <c r="I153" t="s">
        <v>30</v>
      </c>
      <c r="J153" t="s">
        <v>21</v>
      </c>
      <c r="K153" t="s">
        <v>22</v>
      </c>
      <c r="L153" s="15">
        <v>5400</v>
      </c>
      <c r="M153" t="s">
        <v>32</v>
      </c>
      <c r="P153" t="s">
        <v>306</v>
      </c>
      <c r="Q153" t="str">
        <f>_xlfn.XLOOKUP(angajati__2[[#This Row],[id_departament]],departamente!A:A,departamente!B:B)</f>
        <v>Vânzări</v>
      </c>
      <c r="R153">
        <f t="shared" si="6"/>
        <v>42</v>
      </c>
      <c r="S153">
        <f t="shared" si="7"/>
        <v>3.1</v>
      </c>
      <c r="T153" t="str" cm="1">
        <f t="array" ref="T153">_xlfn.IFS(
    S153&lt;1, "&lt; 1 an",
    S153&lt;3, "1–3 ani",
    S153&lt;5, "3–5 ani",
    S153&gt;=5, "&gt; 5 ani"
)</f>
        <v>3–5 ani</v>
      </c>
      <c r="U153">
        <f t="shared" si="8"/>
        <v>0</v>
      </c>
    </row>
    <row r="154" spans="1:21" x14ac:dyDescent="0.3">
      <c r="A154">
        <v>1444</v>
      </c>
      <c r="B154" t="s">
        <v>115</v>
      </c>
      <c r="C154" t="s">
        <v>247</v>
      </c>
      <c r="D154" t="s">
        <v>18</v>
      </c>
      <c r="E154" s="1">
        <v>36204</v>
      </c>
      <c r="F154" s="1">
        <v>45631</v>
      </c>
      <c r="G154">
        <v>60</v>
      </c>
      <c r="H154" t="s">
        <v>78</v>
      </c>
      <c r="I154" t="s">
        <v>45</v>
      </c>
      <c r="J154" t="s">
        <v>21</v>
      </c>
      <c r="K154" t="s">
        <v>40</v>
      </c>
      <c r="L154" s="15">
        <v>3150</v>
      </c>
      <c r="M154" t="s">
        <v>32</v>
      </c>
      <c r="P154" t="s">
        <v>307</v>
      </c>
      <c r="Q154" t="str">
        <f>_xlfn.XLOOKUP(angajati__2[[#This Row],[id_departament]],departamente!A:A,departamente!B:B)</f>
        <v>Suport Clienți</v>
      </c>
      <c r="R154">
        <f t="shared" si="6"/>
        <v>26</v>
      </c>
      <c r="S154">
        <f t="shared" si="7"/>
        <v>1.1000000000000001</v>
      </c>
      <c r="T154" t="str" cm="1">
        <f t="array" ref="T154">_xlfn.IFS(
    S154&lt;1, "&lt; 1 an",
    S154&lt;3, "1–3 ani",
    S154&lt;5, "3–5 ani",
    S154&gt;=5, "&gt; 5 ani"
)</f>
        <v>1–3 ani</v>
      </c>
      <c r="U154">
        <f t="shared" si="8"/>
        <v>0</v>
      </c>
    </row>
    <row r="155" spans="1:21" x14ac:dyDescent="0.3">
      <c r="A155">
        <v>1109</v>
      </c>
      <c r="B155" t="s">
        <v>134</v>
      </c>
      <c r="C155" t="s">
        <v>65</v>
      </c>
      <c r="D155" t="s">
        <v>18</v>
      </c>
      <c r="E155" s="1">
        <v>28668</v>
      </c>
      <c r="F155" s="1">
        <v>45846</v>
      </c>
      <c r="G155">
        <v>50</v>
      </c>
      <c r="H155" t="s">
        <v>71</v>
      </c>
      <c r="I155" t="s">
        <v>30</v>
      </c>
      <c r="J155" t="s">
        <v>52</v>
      </c>
      <c r="K155" t="s">
        <v>22</v>
      </c>
      <c r="L155" s="15">
        <v>6350</v>
      </c>
      <c r="M155" t="s">
        <v>32</v>
      </c>
      <c r="P155" t="s">
        <v>308</v>
      </c>
      <c r="Q155" t="str">
        <f>_xlfn.XLOOKUP(angajati__2[[#This Row],[id_departament]],departamente!A:A,departamente!B:B)</f>
        <v>Financiar</v>
      </c>
      <c r="R155">
        <f t="shared" si="6"/>
        <v>47</v>
      </c>
      <c r="S155">
        <f t="shared" si="7"/>
        <v>0.5</v>
      </c>
      <c r="T155" t="str" cm="1">
        <f t="array" ref="T155">_xlfn.IFS(
    S155&lt;1, "&lt; 1 an",
    S155&lt;3, "1–3 ani",
    S155&lt;5, "3–5 ani",
    S155&gt;=5, "&gt; 5 ani"
)</f>
        <v>&lt; 1 an</v>
      </c>
      <c r="U155">
        <f t="shared" si="8"/>
        <v>0</v>
      </c>
    </row>
    <row r="156" spans="1:21" x14ac:dyDescent="0.3">
      <c r="A156">
        <v>1422</v>
      </c>
      <c r="B156" t="s">
        <v>58</v>
      </c>
      <c r="C156" t="s">
        <v>144</v>
      </c>
      <c r="D156" t="s">
        <v>37</v>
      </c>
      <c r="E156" s="1">
        <v>29620</v>
      </c>
      <c r="F156" s="1">
        <v>43551</v>
      </c>
      <c r="G156">
        <v>10</v>
      </c>
      <c r="H156" t="s">
        <v>44</v>
      </c>
      <c r="I156" t="s">
        <v>45</v>
      </c>
      <c r="J156" t="s">
        <v>21</v>
      </c>
      <c r="K156" t="s">
        <v>22</v>
      </c>
      <c r="L156" s="15">
        <v>5700</v>
      </c>
      <c r="M156" t="s">
        <v>23</v>
      </c>
      <c r="N156" s="1">
        <v>45015</v>
      </c>
      <c r="O156" t="s">
        <v>117</v>
      </c>
      <c r="P156" t="s">
        <v>309</v>
      </c>
      <c r="Q156" t="str">
        <f>_xlfn.XLOOKUP(angajati__2[[#This Row],[id_departament]],departamente!A:A,departamente!B:B)</f>
        <v>IT</v>
      </c>
      <c r="R156">
        <f t="shared" si="6"/>
        <v>44</v>
      </c>
      <c r="S156">
        <f t="shared" si="7"/>
        <v>4</v>
      </c>
      <c r="T156" t="str" cm="1">
        <f t="array" ref="T156">_xlfn.IFS(
    S156&lt;1, "&lt; 1 an",
    S156&lt;3, "1–3 ani",
    S156&lt;5, "3–5 ani",
    S156&gt;=5, "&gt; 5 ani"
)</f>
        <v>3–5 ani</v>
      </c>
      <c r="U156">
        <f t="shared" si="8"/>
        <v>1</v>
      </c>
    </row>
    <row r="157" spans="1:21" x14ac:dyDescent="0.3">
      <c r="A157">
        <v>1245</v>
      </c>
      <c r="B157" t="s">
        <v>35</v>
      </c>
      <c r="C157" t="s">
        <v>206</v>
      </c>
      <c r="D157" t="s">
        <v>18</v>
      </c>
      <c r="E157" s="1">
        <v>34829</v>
      </c>
      <c r="F157" s="1">
        <v>43524</v>
      </c>
      <c r="G157">
        <v>10</v>
      </c>
      <c r="H157" t="s">
        <v>108</v>
      </c>
      <c r="I157" t="s">
        <v>45</v>
      </c>
      <c r="J157" t="s">
        <v>21</v>
      </c>
      <c r="K157" t="s">
        <v>22</v>
      </c>
      <c r="L157" s="15">
        <v>4800</v>
      </c>
      <c r="M157" t="s">
        <v>32</v>
      </c>
      <c r="P157" t="s">
        <v>310</v>
      </c>
      <c r="Q157" t="str">
        <f>_xlfn.XLOOKUP(angajati__2[[#This Row],[id_departament]],departamente!A:A,departamente!B:B)</f>
        <v>IT</v>
      </c>
      <c r="R157">
        <f t="shared" si="6"/>
        <v>30</v>
      </c>
      <c r="S157">
        <f t="shared" si="7"/>
        <v>6.8</v>
      </c>
      <c r="T157" t="str" cm="1">
        <f t="array" ref="T157">_xlfn.IFS(
    S157&lt;1, "&lt; 1 an",
    S157&lt;3, "1–3 ani",
    S157&lt;5, "3–5 ani",
    S157&gt;=5, "&gt; 5 ani"
)</f>
        <v>&gt; 5 ani</v>
      </c>
      <c r="U157">
        <f t="shared" si="8"/>
        <v>0</v>
      </c>
    </row>
    <row r="158" spans="1:21" x14ac:dyDescent="0.3">
      <c r="A158">
        <v>1272</v>
      </c>
      <c r="B158" t="s">
        <v>157</v>
      </c>
      <c r="C158" t="s">
        <v>81</v>
      </c>
      <c r="D158" t="s">
        <v>37</v>
      </c>
      <c r="E158" s="1">
        <v>33295</v>
      </c>
      <c r="F158" s="1">
        <v>43760</v>
      </c>
      <c r="G158">
        <v>60</v>
      </c>
      <c r="H158" t="s">
        <v>78</v>
      </c>
      <c r="I158" t="s">
        <v>45</v>
      </c>
      <c r="J158" t="s">
        <v>52</v>
      </c>
      <c r="K158" t="s">
        <v>22</v>
      </c>
      <c r="L158" s="15">
        <v>2825</v>
      </c>
      <c r="M158" t="s">
        <v>32</v>
      </c>
      <c r="P158" t="s">
        <v>311</v>
      </c>
      <c r="Q158" t="str">
        <f>_xlfn.XLOOKUP(angajati__2[[#This Row],[id_departament]],departamente!A:A,departamente!B:B)</f>
        <v>Suport Clienți</v>
      </c>
      <c r="R158">
        <f t="shared" si="6"/>
        <v>34</v>
      </c>
      <c r="S158">
        <f t="shared" si="7"/>
        <v>6.2</v>
      </c>
      <c r="T158" t="str" cm="1">
        <f t="array" ref="T158">_xlfn.IFS(
    S158&lt;1, "&lt; 1 an",
    S158&lt;3, "1–3 ani",
    S158&lt;5, "3–5 ani",
    S158&gt;=5, "&gt; 5 ani"
)</f>
        <v>&gt; 5 ani</v>
      </c>
      <c r="U158">
        <f t="shared" si="8"/>
        <v>0</v>
      </c>
    </row>
    <row r="159" spans="1:21" x14ac:dyDescent="0.3">
      <c r="A159">
        <v>1387</v>
      </c>
      <c r="B159" t="s">
        <v>112</v>
      </c>
      <c r="C159" t="s">
        <v>206</v>
      </c>
      <c r="D159" t="s">
        <v>18</v>
      </c>
      <c r="E159" s="1">
        <v>33769</v>
      </c>
      <c r="F159" s="1">
        <v>42391</v>
      </c>
      <c r="G159">
        <v>30</v>
      </c>
      <c r="H159" t="s">
        <v>209</v>
      </c>
      <c r="I159" t="s">
        <v>45</v>
      </c>
      <c r="J159" t="s">
        <v>21</v>
      </c>
      <c r="K159" t="s">
        <v>22</v>
      </c>
      <c r="L159" s="15">
        <v>3950</v>
      </c>
      <c r="M159" t="s">
        <v>32</v>
      </c>
      <c r="P159" t="s">
        <v>312</v>
      </c>
      <c r="Q159" t="str">
        <f>_xlfn.XLOOKUP(angajati__2[[#This Row],[id_departament]],departamente!A:A,departamente!B:B)</f>
        <v>Marketing</v>
      </c>
      <c r="R159">
        <f t="shared" si="6"/>
        <v>33</v>
      </c>
      <c r="S159">
        <f t="shared" si="7"/>
        <v>9.9</v>
      </c>
      <c r="T159" t="str" cm="1">
        <f t="array" ref="T159">_xlfn.IFS(
    S159&lt;1, "&lt; 1 an",
    S159&lt;3, "1–3 ani",
    S159&lt;5, "3–5 ani",
    S159&gt;=5, "&gt; 5 ani"
)</f>
        <v>&gt; 5 ani</v>
      </c>
      <c r="U159">
        <f t="shared" si="8"/>
        <v>0</v>
      </c>
    </row>
    <row r="160" spans="1:21" x14ac:dyDescent="0.3">
      <c r="A160">
        <v>1083</v>
      </c>
      <c r="B160" t="s">
        <v>26</v>
      </c>
      <c r="C160" t="s">
        <v>128</v>
      </c>
      <c r="D160" t="s">
        <v>18</v>
      </c>
      <c r="E160" s="1">
        <v>28754</v>
      </c>
      <c r="F160" s="1">
        <v>43395</v>
      </c>
      <c r="G160">
        <v>10</v>
      </c>
      <c r="H160" t="s">
        <v>49</v>
      </c>
      <c r="I160" t="s">
        <v>30</v>
      </c>
      <c r="J160" t="s">
        <v>21</v>
      </c>
      <c r="K160" t="s">
        <v>22</v>
      </c>
      <c r="L160" s="15">
        <v>9250</v>
      </c>
      <c r="M160" t="s">
        <v>32</v>
      </c>
      <c r="P160" t="s">
        <v>313</v>
      </c>
      <c r="Q160" t="str">
        <f>_xlfn.XLOOKUP(angajati__2[[#This Row],[id_departament]],departamente!A:A,departamente!B:B)</f>
        <v>IT</v>
      </c>
      <c r="R160">
        <f t="shared" si="6"/>
        <v>47</v>
      </c>
      <c r="S160">
        <f t="shared" si="7"/>
        <v>7.2</v>
      </c>
      <c r="T160" t="str" cm="1">
        <f t="array" ref="T160">_xlfn.IFS(
    S160&lt;1, "&lt; 1 an",
    S160&lt;3, "1–3 ani",
    S160&lt;5, "3–5 ani",
    S160&gt;=5, "&gt; 5 ani"
)</f>
        <v>&gt; 5 ani</v>
      </c>
      <c r="U160">
        <f t="shared" si="8"/>
        <v>0</v>
      </c>
    </row>
    <row r="161" spans="1:21" x14ac:dyDescent="0.3">
      <c r="A161">
        <v>1241</v>
      </c>
      <c r="B161" t="s">
        <v>67</v>
      </c>
      <c r="C161" t="s">
        <v>216</v>
      </c>
      <c r="D161" t="s">
        <v>18</v>
      </c>
      <c r="E161" s="1">
        <v>34047</v>
      </c>
      <c r="F161" s="1">
        <v>43273</v>
      </c>
      <c r="G161">
        <v>50</v>
      </c>
      <c r="H161" t="s">
        <v>123</v>
      </c>
      <c r="I161" t="s">
        <v>45</v>
      </c>
      <c r="J161" t="s">
        <v>21</v>
      </c>
      <c r="K161" t="s">
        <v>22</v>
      </c>
      <c r="L161" s="15">
        <v>4650</v>
      </c>
      <c r="M161" t="s">
        <v>32</v>
      </c>
      <c r="Q161" t="str">
        <f>_xlfn.XLOOKUP(angajati__2[[#This Row],[id_departament]],departamente!A:A,departamente!B:B)</f>
        <v>Financiar</v>
      </c>
      <c r="R161">
        <f t="shared" si="6"/>
        <v>32</v>
      </c>
      <c r="S161">
        <f t="shared" si="7"/>
        <v>7.5</v>
      </c>
      <c r="T161" t="str" cm="1">
        <f t="array" ref="T161">_xlfn.IFS(
    S161&lt;1, "&lt; 1 an",
    S161&lt;3, "1–3 ani",
    S161&lt;5, "3–5 ani",
    S161&gt;=5, "&gt; 5 ani"
)</f>
        <v>&gt; 5 ani</v>
      </c>
      <c r="U161">
        <f t="shared" si="8"/>
        <v>0</v>
      </c>
    </row>
    <row r="162" spans="1:21" x14ac:dyDescent="0.3">
      <c r="A162">
        <v>1054</v>
      </c>
      <c r="B162" t="s">
        <v>67</v>
      </c>
      <c r="C162" t="s">
        <v>119</v>
      </c>
      <c r="D162" t="s">
        <v>18</v>
      </c>
      <c r="E162" s="1">
        <v>32276</v>
      </c>
      <c r="F162" s="1">
        <v>43034</v>
      </c>
      <c r="G162">
        <v>70</v>
      </c>
      <c r="H162" t="s">
        <v>38</v>
      </c>
      <c r="I162" t="s">
        <v>45</v>
      </c>
      <c r="J162" t="s">
        <v>21</v>
      </c>
      <c r="K162" t="s">
        <v>22</v>
      </c>
      <c r="L162" s="15">
        <v>3800</v>
      </c>
      <c r="M162" t="s">
        <v>32</v>
      </c>
      <c r="P162" t="s">
        <v>314</v>
      </c>
      <c r="Q162" t="str">
        <f>_xlfn.XLOOKUP(angajati__2[[#This Row],[id_departament]],departamente!A:A,departamente!B:B)</f>
        <v>Operațiuni</v>
      </c>
      <c r="R162">
        <f t="shared" si="6"/>
        <v>37</v>
      </c>
      <c r="S162">
        <f t="shared" si="7"/>
        <v>8.1999999999999993</v>
      </c>
      <c r="T162" t="str" cm="1">
        <f t="array" ref="T162">_xlfn.IFS(
    S162&lt;1, "&lt; 1 an",
    S162&lt;3, "1–3 ani",
    S162&lt;5, "3–5 ani",
    S162&gt;=5, "&gt; 5 ani"
)</f>
        <v>&gt; 5 ani</v>
      </c>
      <c r="U162">
        <f t="shared" si="8"/>
        <v>0</v>
      </c>
    </row>
    <row r="163" spans="1:21" x14ac:dyDescent="0.3">
      <c r="A163">
        <v>1242</v>
      </c>
      <c r="B163" t="s">
        <v>100</v>
      </c>
      <c r="C163" t="s">
        <v>74</v>
      </c>
      <c r="D163" t="s">
        <v>18</v>
      </c>
      <c r="E163" s="1">
        <v>31995</v>
      </c>
      <c r="F163" s="1">
        <v>43354</v>
      </c>
      <c r="G163">
        <v>60</v>
      </c>
      <c r="H163" t="s">
        <v>29</v>
      </c>
      <c r="I163" t="s">
        <v>45</v>
      </c>
      <c r="J163" t="s">
        <v>52</v>
      </c>
      <c r="K163" t="s">
        <v>22</v>
      </c>
      <c r="L163" s="15">
        <v>2550</v>
      </c>
      <c r="M163" t="s">
        <v>32</v>
      </c>
      <c r="P163" t="s">
        <v>315</v>
      </c>
      <c r="Q163" t="str">
        <f>_xlfn.XLOOKUP(angajati__2[[#This Row],[id_departament]],departamente!A:A,departamente!B:B)</f>
        <v>Suport Clienți</v>
      </c>
      <c r="R163">
        <f t="shared" si="6"/>
        <v>38</v>
      </c>
      <c r="S163">
        <f t="shared" si="7"/>
        <v>7.3</v>
      </c>
      <c r="T163" t="str" cm="1">
        <f t="array" ref="T163">_xlfn.IFS(
    S163&lt;1, "&lt; 1 an",
    S163&lt;3, "1–3 ani",
    S163&lt;5, "3–5 ani",
    S163&gt;=5, "&gt; 5 ani"
)</f>
        <v>&gt; 5 ani</v>
      </c>
      <c r="U163">
        <f t="shared" si="8"/>
        <v>0</v>
      </c>
    </row>
    <row r="164" spans="1:21" x14ac:dyDescent="0.3">
      <c r="A164">
        <v>1085</v>
      </c>
      <c r="B164" t="s">
        <v>70</v>
      </c>
      <c r="C164" t="s">
        <v>43</v>
      </c>
      <c r="D164" t="s">
        <v>37</v>
      </c>
      <c r="E164" s="1">
        <v>30746</v>
      </c>
      <c r="F164" s="1">
        <v>42439</v>
      </c>
      <c r="G164">
        <v>60</v>
      </c>
      <c r="H164" t="s">
        <v>29</v>
      </c>
      <c r="I164" t="s">
        <v>45</v>
      </c>
      <c r="J164" t="s">
        <v>52</v>
      </c>
      <c r="K164" t="s">
        <v>22</v>
      </c>
      <c r="L164" s="15">
        <v>2450</v>
      </c>
      <c r="M164" t="s">
        <v>23</v>
      </c>
      <c r="N164" s="1">
        <v>45247</v>
      </c>
      <c r="O164" t="s">
        <v>105</v>
      </c>
      <c r="P164" t="s">
        <v>316</v>
      </c>
      <c r="Q164" t="str">
        <f>_xlfn.XLOOKUP(angajati__2[[#This Row],[id_departament]],departamente!A:A,departamente!B:B)</f>
        <v>Suport Clienți</v>
      </c>
      <c r="R164">
        <f t="shared" si="6"/>
        <v>41</v>
      </c>
      <c r="S164">
        <f t="shared" si="7"/>
        <v>7.7</v>
      </c>
      <c r="T164" t="str" cm="1">
        <f t="array" ref="T164">_xlfn.IFS(
    S164&lt;1, "&lt; 1 an",
    S164&lt;3, "1–3 ani",
    S164&lt;5, "3–5 ani",
    S164&gt;=5, "&gt; 5 ani"
)</f>
        <v>&gt; 5 ani</v>
      </c>
      <c r="U164">
        <f t="shared" si="8"/>
        <v>1</v>
      </c>
    </row>
    <row r="165" spans="1:21" x14ac:dyDescent="0.3">
      <c r="A165">
        <v>1426</v>
      </c>
      <c r="B165" t="s">
        <v>180</v>
      </c>
      <c r="C165" t="s">
        <v>128</v>
      </c>
      <c r="D165" t="s">
        <v>18</v>
      </c>
      <c r="E165" s="1">
        <v>29387</v>
      </c>
      <c r="F165" s="1">
        <v>44501</v>
      </c>
      <c r="G165">
        <v>70</v>
      </c>
      <c r="H165" t="s">
        <v>38</v>
      </c>
      <c r="I165" t="s">
        <v>30</v>
      </c>
      <c r="J165" t="s">
        <v>31</v>
      </c>
      <c r="K165" t="s">
        <v>22</v>
      </c>
      <c r="L165" s="15">
        <v>5300</v>
      </c>
      <c r="M165" t="s">
        <v>23</v>
      </c>
      <c r="N165" s="1">
        <v>44868</v>
      </c>
      <c r="O165" t="s">
        <v>117</v>
      </c>
      <c r="P165" t="s">
        <v>317</v>
      </c>
      <c r="Q165" t="str">
        <f>_xlfn.XLOOKUP(angajati__2[[#This Row],[id_departament]],departamente!A:A,departamente!B:B)</f>
        <v>Operațiuni</v>
      </c>
      <c r="R165">
        <f t="shared" si="6"/>
        <v>45</v>
      </c>
      <c r="S165">
        <f t="shared" si="7"/>
        <v>1</v>
      </c>
      <c r="T165" t="str" cm="1">
        <f t="array" ref="T165">_xlfn.IFS(
    S165&lt;1, "&lt; 1 an",
    S165&lt;3, "1–3 ani",
    S165&lt;5, "3–5 ani",
    S165&gt;=5, "&gt; 5 ani"
)</f>
        <v>1–3 ani</v>
      </c>
      <c r="U165">
        <f t="shared" si="8"/>
        <v>1</v>
      </c>
    </row>
    <row r="166" spans="1:21" x14ac:dyDescent="0.3">
      <c r="A166">
        <v>1480</v>
      </c>
      <c r="B166" t="s">
        <v>85</v>
      </c>
      <c r="C166" t="s">
        <v>17</v>
      </c>
      <c r="D166" t="s">
        <v>18</v>
      </c>
      <c r="E166" s="1">
        <v>28902</v>
      </c>
      <c r="F166" s="1">
        <v>42843</v>
      </c>
      <c r="G166">
        <v>20</v>
      </c>
      <c r="H166" t="s">
        <v>60</v>
      </c>
      <c r="I166" t="s">
        <v>20</v>
      </c>
      <c r="J166" t="s">
        <v>21</v>
      </c>
      <c r="K166" t="s">
        <v>22</v>
      </c>
      <c r="L166" s="15">
        <v>10250</v>
      </c>
      <c r="M166" t="s">
        <v>32</v>
      </c>
      <c r="P166" t="s">
        <v>318</v>
      </c>
      <c r="Q166" t="str">
        <f>_xlfn.XLOOKUP(angajati__2[[#This Row],[id_departament]],departamente!A:A,departamente!B:B)</f>
        <v>Vânzări</v>
      </c>
      <c r="R166">
        <f t="shared" si="6"/>
        <v>46</v>
      </c>
      <c r="S166">
        <f t="shared" si="7"/>
        <v>8.6999999999999993</v>
      </c>
      <c r="T166" t="str" cm="1">
        <f t="array" ref="T166">_xlfn.IFS(
    S166&lt;1, "&lt; 1 an",
    S166&lt;3, "1–3 ani",
    S166&lt;5, "3–5 ani",
    S166&gt;=5, "&gt; 5 ani"
)</f>
        <v>&gt; 5 ani</v>
      </c>
      <c r="U166">
        <f t="shared" si="8"/>
        <v>0</v>
      </c>
    </row>
    <row r="167" spans="1:21" x14ac:dyDescent="0.3">
      <c r="A167">
        <v>1397</v>
      </c>
      <c r="B167" t="s">
        <v>136</v>
      </c>
      <c r="C167" t="s">
        <v>74</v>
      </c>
      <c r="D167" t="s">
        <v>18</v>
      </c>
      <c r="E167" s="1">
        <v>29148</v>
      </c>
      <c r="F167" s="1">
        <v>44162</v>
      </c>
      <c r="G167">
        <v>20</v>
      </c>
      <c r="H167" t="s">
        <v>104</v>
      </c>
      <c r="I167" t="s">
        <v>39</v>
      </c>
      <c r="J167" t="s">
        <v>21</v>
      </c>
      <c r="K167" t="s">
        <v>22</v>
      </c>
      <c r="L167" s="15">
        <v>7100</v>
      </c>
      <c r="M167" t="s">
        <v>32</v>
      </c>
      <c r="P167" t="s">
        <v>319</v>
      </c>
      <c r="Q167" t="str">
        <f>_xlfn.XLOOKUP(angajati__2[[#This Row],[id_departament]],departamente!A:A,departamente!B:B)</f>
        <v>Vânzări</v>
      </c>
      <c r="R167">
        <f t="shared" si="6"/>
        <v>46</v>
      </c>
      <c r="S167">
        <f t="shared" si="7"/>
        <v>5.0999999999999996</v>
      </c>
      <c r="T167" t="str" cm="1">
        <f t="array" ref="T167">_xlfn.IFS(
    S167&lt;1, "&lt; 1 an",
    S167&lt;3, "1–3 ani",
    S167&lt;5, "3–5 ani",
    S167&gt;=5, "&gt; 5 ani"
)</f>
        <v>&gt; 5 ani</v>
      </c>
      <c r="U167">
        <f t="shared" si="8"/>
        <v>0</v>
      </c>
    </row>
    <row r="168" spans="1:21" x14ac:dyDescent="0.3">
      <c r="A168">
        <v>1420</v>
      </c>
      <c r="B168" t="s">
        <v>73</v>
      </c>
      <c r="C168" t="s">
        <v>81</v>
      </c>
      <c r="D168" t="s">
        <v>37</v>
      </c>
      <c r="E168" s="1">
        <v>32265</v>
      </c>
      <c r="F168" s="1">
        <v>43235</v>
      </c>
      <c r="G168">
        <v>20</v>
      </c>
      <c r="H168" t="s">
        <v>104</v>
      </c>
      <c r="I168" t="s">
        <v>45</v>
      </c>
      <c r="J168" t="s">
        <v>21</v>
      </c>
      <c r="K168" t="s">
        <v>22</v>
      </c>
      <c r="L168" s="15">
        <v>3450</v>
      </c>
      <c r="M168" t="s">
        <v>32</v>
      </c>
      <c r="P168" t="s">
        <v>320</v>
      </c>
      <c r="Q168" t="str">
        <f>_xlfn.XLOOKUP(angajati__2[[#This Row],[id_departament]],departamente!A:A,departamente!B:B)</f>
        <v>Vânzări</v>
      </c>
      <c r="R168">
        <f t="shared" si="6"/>
        <v>37</v>
      </c>
      <c r="S168">
        <f t="shared" si="7"/>
        <v>7.6</v>
      </c>
      <c r="T168" t="str" cm="1">
        <f t="array" ref="T168">_xlfn.IFS(
    S168&lt;1, "&lt; 1 an",
    S168&lt;3, "1–3 ani",
    S168&lt;5, "3–5 ani",
    S168&gt;=5, "&gt; 5 ani"
)</f>
        <v>&gt; 5 ani</v>
      </c>
      <c r="U168">
        <f t="shared" si="8"/>
        <v>0</v>
      </c>
    </row>
    <row r="169" spans="1:21" x14ac:dyDescent="0.3">
      <c r="A169">
        <v>1202</v>
      </c>
      <c r="B169" t="s">
        <v>64</v>
      </c>
      <c r="C169" t="s">
        <v>247</v>
      </c>
      <c r="D169" t="s">
        <v>18</v>
      </c>
      <c r="E169" s="1">
        <v>29824</v>
      </c>
      <c r="F169" s="1">
        <v>45211</v>
      </c>
      <c r="G169">
        <v>60</v>
      </c>
      <c r="H169" t="s">
        <v>78</v>
      </c>
      <c r="I169" t="s">
        <v>45</v>
      </c>
      <c r="J169" t="s">
        <v>52</v>
      </c>
      <c r="K169" t="s">
        <v>22</v>
      </c>
      <c r="L169" s="15">
        <v>2950</v>
      </c>
      <c r="M169" t="s">
        <v>32</v>
      </c>
      <c r="P169" t="s">
        <v>321</v>
      </c>
      <c r="Q169" t="str">
        <f>_xlfn.XLOOKUP(angajati__2[[#This Row],[id_departament]],departamente!A:A,departamente!B:B)</f>
        <v>Suport Clienți</v>
      </c>
      <c r="R169">
        <f t="shared" si="6"/>
        <v>44</v>
      </c>
      <c r="S169">
        <f t="shared" si="7"/>
        <v>2.2000000000000002</v>
      </c>
      <c r="T169" t="str" cm="1">
        <f t="array" ref="T169">_xlfn.IFS(
    S169&lt;1, "&lt; 1 an",
    S169&lt;3, "1–3 ani",
    S169&lt;5, "3–5 ani",
    S169&gt;=5, "&gt; 5 ani"
)</f>
        <v>1–3 ani</v>
      </c>
      <c r="U169">
        <f t="shared" si="8"/>
        <v>0</v>
      </c>
    </row>
    <row r="170" spans="1:21" x14ac:dyDescent="0.3">
      <c r="A170">
        <v>1075</v>
      </c>
      <c r="B170" t="s">
        <v>64</v>
      </c>
      <c r="C170" t="s">
        <v>247</v>
      </c>
      <c r="D170" t="s">
        <v>18</v>
      </c>
      <c r="E170" s="1">
        <v>32927</v>
      </c>
      <c r="F170" s="1">
        <v>43447</v>
      </c>
      <c r="G170">
        <v>10</v>
      </c>
      <c r="H170" t="s">
        <v>49</v>
      </c>
      <c r="I170" t="s">
        <v>30</v>
      </c>
      <c r="J170" t="s">
        <v>21</v>
      </c>
      <c r="K170" t="s">
        <v>22</v>
      </c>
      <c r="L170" s="15">
        <v>8000</v>
      </c>
      <c r="M170" t="s">
        <v>32</v>
      </c>
      <c r="P170" t="s">
        <v>322</v>
      </c>
      <c r="Q170" t="str">
        <f>_xlfn.XLOOKUP(angajati__2[[#This Row],[id_departament]],departamente!A:A,departamente!B:B)</f>
        <v>IT</v>
      </c>
      <c r="R170">
        <f t="shared" si="6"/>
        <v>35</v>
      </c>
      <c r="S170">
        <f t="shared" si="7"/>
        <v>7</v>
      </c>
      <c r="T170" t="str" cm="1">
        <f t="array" ref="T170">_xlfn.IFS(
    S170&lt;1, "&lt; 1 an",
    S170&lt;3, "1–3 ani",
    S170&lt;5, "3–5 ani",
    S170&gt;=5, "&gt; 5 ani"
)</f>
        <v>&gt; 5 ani</v>
      </c>
      <c r="U170">
        <f t="shared" si="8"/>
        <v>0</v>
      </c>
    </row>
    <row r="171" spans="1:21" x14ac:dyDescent="0.3">
      <c r="A171">
        <v>1453</v>
      </c>
      <c r="B171" t="s">
        <v>70</v>
      </c>
      <c r="C171" t="s">
        <v>163</v>
      </c>
      <c r="D171" t="s">
        <v>18</v>
      </c>
      <c r="E171" s="1">
        <v>29850</v>
      </c>
      <c r="F171" s="1">
        <v>43731</v>
      </c>
      <c r="G171">
        <v>60</v>
      </c>
      <c r="H171" t="s">
        <v>29</v>
      </c>
      <c r="I171" t="s">
        <v>45</v>
      </c>
      <c r="J171" t="s">
        <v>52</v>
      </c>
      <c r="K171" t="s">
        <v>22</v>
      </c>
      <c r="L171" s="15">
        <v>2550</v>
      </c>
      <c r="M171" t="s">
        <v>32</v>
      </c>
      <c r="P171" t="s">
        <v>323</v>
      </c>
      <c r="Q171" t="str">
        <f>_xlfn.XLOOKUP(angajati__2[[#This Row],[id_departament]],departamente!A:A,departamente!B:B)</f>
        <v>Suport Clienți</v>
      </c>
      <c r="R171">
        <f t="shared" si="6"/>
        <v>44</v>
      </c>
      <c r="S171">
        <f t="shared" si="7"/>
        <v>6.3</v>
      </c>
      <c r="T171" t="str" cm="1">
        <f t="array" ref="T171">_xlfn.IFS(
    S171&lt;1, "&lt; 1 an",
    S171&lt;3, "1–3 ani",
    S171&lt;5, "3–5 ani",
    S171&gt;=5, "&gt; 5 ani"
)</f>
        <v>&gt; 5 ani</v>
      </c>
      <c r="U171">
        <f t="shared" si="8"/>
        <v>0</v>
      </c>
    </row>
    <row r="172" spans="1:21" x14ac:dyDescent="0.3">
      <c r="A172">
        <v>1402</v>
      </c>
      <c r="B172" t="s">
        <v>58</v>
      </c>
      <c r="C172" t="s">
        <v>65</v>
      </c>
      <c r="D172" t="s">
        <v>18</v>
      </c>
      <c r="E172" s="1">
        <v>31810</v>
      </c>
      <c r="F172" s="1">
        <v>44899</v>
      </c>
      <c r="G172">
        <v>20</v>
      </c>
      <c r="H172" t="s">
        <v>68</v>
      </c>
      <c r="I172" t="s">
        <v>45</v>
      </c>
      <c r="J172" t="s">
        <v>21</v>
      </c>
      <c r="K172" t="s">
        <v>22</v>
      </c>
      <c r="L172" s="15">
        <v>3150</v>
      </c>
      <c r="M172" t="s">
        <v>23</v>
      </c>
      <c r="N172" s="1">
        <v>45491</v>
      </c>
      <c r="O172" t="s">
        <v>24</v>
      </c>
      <c r="P172" t="s">
        <v>324</v>
      </c>
      <c r="Q172" t="str">
        <f>_xlfn.XLOOKUP(angajati__2[[#This Row],[id_departament]],departamente!A:A,departamente!B:B)</f>
        <v>Vânzări</v>
      </c>
      <c r="R172">
        <f t="shared" si="6"/>
        <v>38</v>
      </c>
      <c r="S172">
        <f t="shared" si="7"/>
        <v>1.6</v>
      </c>
      <c r="T172" t="str" cm="1">
        <f t="array" ref="T172">_xlfn.IFS(
    S172&lt;1, "&lt; 1 an",
    S172&lt;3, "1–3 ani",
    S172&lt;5, "3–5 ani",
    S172&gt;=5, "&gt; 5 ani"
)</f>
        <v>1–3 ani</v>
      </c>
      <c r="U172">
        <f t="shared" si="8"/>
        <v>1</v>
      </c>
    </row>
    <row r="173" spans="1:21" x14ac:dyDescent="0.3">
      <c r="A173">
        <v>1273</v>
      </c>
      <c r="B173" t="s">
        <v>180</v>
      </c>
      <c r="C173" t="s">
        <v>194</v>
      </c>
      <c r="D173" t="s">
        <v>37</v>
      </c>
      <c r="E173" s="1">
        <v>33194</v>
      </c>
      <c r="F173" s="1">
        <v>43343</v>
      </c>
      <c r="G173">
        <v>20</v>
      </c>
      <c r="H173" t="s">
        <v>68</v>
      </c>
      <c r="I173" t="s">
        <v>45</v>
      </c>
      <c r="J173" t="s">
        <v>21</v>
      </c>
      <c r="K173" t="s">
        <v>22</v>
      </c>
      <c r="L173" s="15">
        <v>4250</v>
      </c>
      <c r="M173" t="s">
        <v>23</v>
      </c>
      <c r="N173" s="1">
        <v>43439</v>
      </c>
      <c r="O173" t="s">
        <v>105</v>
      </c>
      <c r="P173" t="s">
        <v>325</v>
      </c>
      <c r="Q173" t="str">
        <f>_xlfn.XLOOKUP(angajati__2[[#This Row],[id_departament]],departamente!A:A,departamente!B:B)</f>
        <v>Vânzări</v>
      </c>
      <c r="R173">
        <f t="shared" si="6"/>
        <v>35</v>
      </c>
      <c r="S173">
        <f t="shared" si="7"/>
        <v>0.3</v>
      </c>
      <c r="T173" t="str" cm="1">
        <f t="array" ref="T173">_xlfn.IFS(
    S173&lt;1, "&lt; 1 an",
    S173&lt;3, "1–3 ani",
    S173&lt;5, "3–5 ani",
    S173&gt;=5, "&gt; 5 ani"
)</f>
        <v>&lt; 1 an</v>
      </c>
      <c r="U173">
        <f t="shared" si="8"/>
        <v>1</v>
      </c>
    </row>
    <row r="174" spans="1:21" x14ac:dyDescent="0.3">
      <c r="A174">
        <v>1383</v>
      </c>
      <c r="B174" t="s">
        <v>58</v>
      </c>
      <c r="C174" t="s">
        <v>90</v>
      </c>
      <c r="D174" t="s">
        <v>18</v>
      </c>
      <c r="E174" s="1">
        <v>37855</v>
      </c>
      <c r="F174" s="1">
        <v>45217</v>
      </c>
      <c r="G174">
        <v>20</v>
      </c>
      <c r="H174" t="s">
        <v>68</v>
      </c>
      <c r="I174" t="s">
        <v>45</v>
      </c>
      <c r="J174" t="s">
        <v>21</v>
      </c>
      <c r="K174" t="s">
        <v>22</v>
      </c>
      <c r="L174" s="15">
        <v>3750</v>
      </c>
      <c r="M174" t="s">
        <v>32</v>
      </c>
      <c r="P174" t="s">
        <v>326</v>
      </c>
      <c r="Q174" t="str">
        <f>_xlfn.XLOOKUP(angajati__2[[#This Row],[id_departament]],departamente!A:A,departamente!B:B)</f>
        <v>Vânzări</v>
      </c>
      <c r="R174">
        <f t="shared" si="6"/>
        <v>22</v>
      </c>
      <c r="S174">
        <f t="shared" si="7"/>
        <v>2.2000000000000002</v>
      </c>
      <c r="T174" t="str" cm="1">
        <f t="array" ref="T174">_xlfn.IFS(
    S174&lt;1, "&lt; 1 an",
    S174&lt;3, "1–3 ani",
    S174&lt;5, "3–5 ani",
    S174&gt;=5, "&gt; 5 ani"
)</f>
        <v>1–3 ani</v>
      </c>
      <c r="U174">
        <f t="shared" si="8"/>
        <v>0</v>
      </c>
    </row>
    <row r="175" spans="1:21" x14ac:dyDescent="0.3">
      <c r="A175">
        <v>1024</v>
      </c>
      <c r="B175" t="s">
        <v>58</v>
      </c>
      <c r="C175" t="s">
        <v>128</v>
      </c>
      <c r="D175" t="s">
        <v>18</v>
      </c>
      <c r="E175" s="1">
        <v>28071</v>
      </c>
      <c r="F175" s="1">
        <v>42720</v>
      </c>
      <c r="G175">
        <v>70</v>
      </c>
      <c r="H175" t="s">
        <v>116</v>
      </c>
      <c r="I175" t="s">
        <v>39</v>
      </c>
      <c r="J175" t="s">
        <v>46</v>
      </c>
      <c r="K175" t="s">
        <v>22</v>
      </c>
      <c r="L175" s="15">
        <v>6950</v>
      </c>
      <c r="M175" t="s">
        <v>32</v>
      </c>
      <c r="P175" t="s">
        <v>328</v>
      </c>
      <c r="Q175" t="str">
        <f>_xlfn.XLOOKUP(angajati__2[[#This Row],[id_departament]],departamente!A:A,departamente!B:B)</f>
        <v>Operațiuni</v>
      </c>
      <c r="R175">
        <f t="shared" si="6"/>
        <v>49</v>
      </c>
      <c r="S175">
        <f t="shared" si="7"/>
        <v>9</v>
      </c>
      <c r="T175" t="str" cm="1">
        <f t="array" ref="T175">_xlfn.IFS(
    S175&lt;1, "&lt; 1 an",
    S175&lt;3, "1–3 ani",
    S175&lt;5, "3–5 ani",
    S175&gt;=5, "&gt; 5 ani"
)</f>
        <v>&gt; 5 ani</v>
      </c>
      <c r="U175">
        <f t="shared" si="8"/>
        <v>0</v>
      </c>
    </row>
    <row r="176" spans="1:21" x14ac:dyDescent="0.3">
      <c r="A176">
        <v>1410</v>
      </c>
      <c r="B176" t="s">
        <v>94</v>
      </c>
      <c r="C176" t="s">
        <v>103</v>
      </c>
      <c r="D176" t="s">
        <v>37</v>
      </c>
      <c r="E176" s="1">
        <v>36839</v>
      </c>
      <c r="F176" s="1">
        <v>44935</v>
      </c>
      <c r="G176">
        <v>10</v>
      </c>
      <c r="H176" t="s">
        <v>49</v>
      </c>
      <c r="I176" t="s">
        <v>45</v>
      </c>
      <c r="J176" t="s">
        <v>21</v>
      </c>
      <c r="K176" t="s">
        <v>22</v>
      </c>
      <c r="L176" s="15">
        <v>6150</v>
      </c>
      <c r="M176" t="s">
        <v>32</v>
      </c>
      <c r="P176" t="s">
        <v>329</v>
      </c>
      <c r="Q176" t="str">
        <f>_xlfn.XLOOKUP(angajati__2[[#This Row],[id_departament]],departamente!A:A,departamente!B:B)</f>
        <v>IT</v>
      </c>
      <c r="R176">
        <f t="shared" si="6"/>
        <v>25</v>
      </c>
      <c r="S176">
        <f t="shared" si="7"/>
        <v>3</v>
      </c>
      <c r="T176" t="str" cm="1">
        <f t="array" ref="T176">_xlfn.IFS(
    S176&lt;1, "&lt; 1 an",
    S176&lt;3, "1–3 ani",
    S176&lt;5, "3–5 ani",
    S176&gt;=5, "&gt; 5 ani"
)</f>
        <v>3–5 ani</v>
      </c>
      <c r="U176">
        <f t="shared" si="8"/>
        <v>0</v>
      </c>
    </row>
    <row r="177" spans="1:21" x14ac:dyDescent="0.3">
      <c r="A177">
        <v>1155</v>
      </c>
      <c r="B177" t="s">
        <v>147</v>
      </c>
      <c r="C177" t="s">
        <v>330</v>
      </c>
      <c r="D177" t="s">
        <v>37</v>
      </c>
      <c r="E177" s="1">
        <v>30027</v>
      </c>
      <c r="F177" s="1">
        <v>42869</v>
      </c>
      <c r="G177">
        <v>10</v>
      </c>
      <c r="H177" t="s">
        <v>87</v>
      </c>
      <c r="I177" t="s">
        <v>30</v>
      </c>
      <c r="J177" t="s">
        <v>21</v>
      </c>
      <c r="K177" t="s">
        <v>22</v>
      </c>
      <c r="L177" s="15">
        <v>8600</v>
      </c>
      <c r="M177" t="s">
        <v>32</v>
      </c>
      <c r="P177" t="s">
        <v>331</v>
      </c>
      <c r="Q177" t="str">
        <f>_xlfn.XLOOKUP(angajati__2[[#This Row],[id_departament]],departamente!A:A,departamente!B:B)</f>
        <v>IT</v>
      </c>
      <c r="R177">
        <f t="shared" si="6"/>
        <v>43</v>
      </c>
      <c r="S177">
        <f t="shared" si="7"/>
        <v>8.6</v>
      </c>
      <c r="T177" t="str" cm="1">
        <f t="array" ref="T177">_xlfn.IFS(
    S177&lt;1, "&lt; 1 an",
    S177&lt;3, "1–3 ani",
    S177&lt;5, "3–5 ani",
    S177&gt;=5, "&gt; 5 ani"
)</f>
        <v>&gt; 5 ani</v>
      </c>
      <c r="U177">
        <f t="shared" si="8"/>
        <v>0</v>
      </c>
    </row>
    <row r="178" spans="1:21" x14ac:dyDescent="0.3">
      <c r="A178">
        <v>1340</v>
      </c>
      <c r="B178" t="s">
        <v>100</v>
      </c>
      <c r="C178" t="s">
        <v>206</v>
      </c>
      <c r="D178" t="s">
        <v>18</v>
      </c>
      <c r="E178" s="1">
        <v>29744</v>
      </c>
      <c r="F178" s="1">
        <v>42844</v>
      </c>
      <c r="G178">
        <v>10</v>
      </c>
      <c r="H178" t="s">
        <v>49</v>
      </c>
      <c r="I178" t="s">
        <v>45</v>
      </c>
      <c r="J178" t="s">
        <v>21</v>
      </c>
      <c r="K178" t="s">
        <v>22</v>
      </c>
      <c r="L178" s="15">
        <v>5050</v>
      </c>
      <c r="M178" t="s">
        <v>23</v>
      </c>
      <c r="N178" s="1">
        <v>43183</v>
      </c>
      <c r="O178" t="s">
        <v>186</v>
      </c>
      <c r="P178" t="s">
        <v>332</v>
      </c>
      <c r="Q178" t="str">
        <f>_xlfn.XLOOKUP(angajati__2[[#This Row],[id_departament]],departamente!A:A,departamente!B:B)</f>
        <v>IT</v>
      </c>
      <c r="R178">
        <f t="shared" si="6"/>
        <v>44</v>
      </c>
      <c r="S178">
        <f t="shared" si="7"/>
        <v>0.9</v>
      </c>
      <c r="T178" t="str" cm="1">
        <f t="array" ref="T178">_xlfn.IFS(
    S178&lt;1, "&lt; 1 an",
    S178&lt;3, "1–3 ani",
    S178&lt;5, "3–5 ani",
    S178&gt;=5, "&gt; 5 ani"
)</f>
        <v>&lt; 1 an</v>
      </c>
      <c r="U178">
        <f t="shared" si="8"/>
        <v>1</v>
      </c>
    </row>
    <row r="179" spans="1:21" x14ac:dyDescent="0.3">
      <c r="A179">
        <v>1374</v>
      </c>
      <c r="B179" t="s">
        <v>136</v>
      </c>
      <c r="C179" t="s">
        <v>140</v>
      </c>
      <c r="D179" t="s">
        <v>37</v>
      </c>
      <c r="E179" s="1">
        <v>32791</v>
      </c>
      <c r="F179" s="1">
        <v>44923</v>
      </c>
      <c r="G179">
        <v>20</v>
      </c>
      <c r="H179" t="s">
        <v>104</v>
      </c>
      <c r="I179" t="s">
        <v>30</v>
      </c>
      <c r="J179" t="s">
        <v>21</v>
      </c>
      <c r="K179" t="s">
        <v>40</v>
      </c>
      <c r="L179" s="15">
        <v>5350</v>
      </c>
      <c r="M179" t="s">
        <v>32</v>
      </c>
      <c r="P179" t="s">
        <v>333</v>
      </c>
      <c r="Q179" t="str">
        <f>_xlfn.XLOOKUP(angajati__2[[#This Row],[id_departament]],departamente!A:A,departamente!B:B)</f>
        <v>Vânzări</v>
      </c>
      <c r="R179">
        <f t="shared" si="6"/>
        <v>36</v>
      </c>
      <c r="S179">
        <f t="shared" si="7"/>
        <v>3</v>
      </c>
      <c r="T179" t="str" cm="1">
        <f t="array" ref="T179">_xlfn.IFS(
    S179&lt;1, "&lt; 1 an",
    S179&lt;3, "1–3 ani",
    S179&lt;5, "3–5 ani",
    S179&gt;=5, "&gt; 5 ani"
)</f>
        <v>3–5 ani</v>
      </c>
      <c r="U179">
        <f t="shared" si="8"/>
        <v>0</v>
      </c>
    </row>
    <row r="180" spans="1:21" x14ac:dyDescent="0.3">
      <c r="A180">
        <v>1237</v>
      </c>
      <c r="B180" t="s">
        <v>67</v>
      </c>
      <c r="C180" t="s">
        <v>103</v>
      </c>
      <c r="D180" t="s">
        <v>37</v>
      </c>
      <c r="E180" s="1">
        <v>30621</v>
      </c>
      <c r="F180" s="1">
        <v>43273</v>
      </c>
      <c r="G180">
        <v>10</v>
      </c>
      <c r="H180" t="s">
        <v>49</v>
      </c>
      <c r="I180" t="s">
        <v>45</v>
      </c>
      <c r="J180" t="s">
        <v>21</v>
      </c>
      <c r="K180" t="s">
        <v>22</v>
      </c>
      <c r="L180" s="15">
        <v>5800</v>
      </c>
      <c r="M180" t="s">
        <v>32</v>
      </c>
      <c r="P180" t="s">
        <v>334</v>
      </c>
      <c r="Q180" t="str">
        <f>_xlfn.XLOOKUP(angajati__2[[#This Row],[id_departament]],departamente!A:A,departamente!B:B)</f>
        <v>IT</v>
      </c>
      <c r="R180">
        <f t="shared" si="6"/>
        <v>42</v>
      </c>
      <c r="S180">
        <f t="shared" si="7"/>
        <v>7.5</v>
      </c>
      <c r="T180" t="str" cm="1">
        <f t="array" ref="T180">_xlfn.IFS(
    S180&lt;1, "&lt; 1 an",
    S180&lt;3, "1–3 ani",
    S180&lt;5, "3–5 ani",
    S180&gt;=5, "&gt; 5 ani"
)</f>
        <v>&gt; 5 ani</v>
      </c>
      <c r="U180">
        <f t="shared" si="8"/>
        <v>0</v>
      </c>
    </row>
    <row r="181" spans="1:21" x14ac:dyDescent="0.3">
      <c r="A181">
        <v>1051</v>
      </c>
      <c r="B181" t="s">
        <v>89</v>
      </c>
      <c r="C181" t="s">
        <v>184</v>
      </c>
      <c r="D181" t="s">
        <v>37</v>
      </c>
      <c r="E181" s="1">
        <v>34409</v>
      </c>
      <c r="F181" s="1">
        <v>44670</v>
      </c>
      <c r="G181">
        <v>30</v>
      </c>
      <c r="H181" t="s">
        <v>209</v>
      </c>
      <c r="I181" t="s">
        <v>39</v>
      </c>
      <c r="J181" t="s">
        <v>52</v>
      </c>
      <c r="K181" t="s">
        <v>22</v>
      </c>
      <c r="L181" s="15">
        <v>8975</v>
      </c>
      <c r="M181" t="s">
        <v>32</v>
      </c>
      <c r="P181" t="s">
        <v>335</v>
      </c>
      <c r="Q181" t="str">
        <f>_xlfn.XLOOKUP(angajati__2[[#This Row],[id_departament]],departamente!A:A,departamente!B:B)</f>
        <v>Marketing</v>
      </c>
      <c r="R181">
        <f t="shared" si="6"/>
        <v>31</v>
      </c>
      <c r="S181">
        <f t="shared" si="7"/>
        <v>3.7</v>
      </c>
      <c r="T181" t="str" cm="1">
        <f t="array" ref="T181">_xlfn.IFS(
    S181&lt;1, "&lt; 1 an",
    S181&lt;3, "1–3 ani",
    S181&lt;5, "3–5 ani",
    S181&gt;=5, "&gt; 5 ani"
)</f>
        <v>3–5 ani</v>
      </c>
      <c r="U181">
        <f t="shared" si="8"/>
        <v>0</v>
      </c>
    </row>
    <row r="182" spans="1:21" x14ac:dyDescent="0.3">
      <c r="A182">
        <v>1039</v>
      </c>
      <c r="B182" t="s">
        <v>94</v>
      </c>
      <c r="C182" t="s">
        <v>110</v>
      </c>
      <c r="D182" t="s">
        <v>37</v>
      </c>
      <c r="E182" s="1">
        <v>35574</v>
      </c>
      <c r="F182" s="1">
        <v>44616</v>
      </c>
      <c r="G182">
        <v>60</v>
      </c>
      <c r="H182" t="s">
        <v>78</v>
      </c>
      <c r="I182" t="s">
        <v>30</v>
      </c>
      <c r="J182" t="s">
        <v>52</v>
      </c>
      <c r="K182" t="s">
        <v>22</v>
      </c>
      <c r="L182" s="15">
        <v>3350</v>
      </c>
      <c r="M182" t="s">
        <v>23</v>
      </c>
      <c r="N182" s="1">
        <v>44992</v>
      </c>
      <c r="O182" t="s">
        <v>24</v>
      </c>
      <c r="P182" t="s">
        <v>336</v>
      </c>
      <c r="Q182" t="str">
        <f>_xlfn.XLOOKUP(angajati__2[[#This Row],[id_departament]],departamente!A:A,departamente!B:B)</f>
        <v>Suport Clienți</v>
      </c>
      <c r="R182">
        <f t="shared" si="6"/>
        <v>28</v>
      </c>
      <c r="S182">
        <f t="shared" si="7"/>
        <v>1</v>
      </c>
      <c r="T182" t="str" cm="1">
        <f t="array" ref="T182">_xlfn.IFS(
    S182&lt;1, "&lt; 1 an",
    S182&lt;3, "1–3 ani",
    S182&lt;5, "3–5 ani",
    S182&gt;=5, "&gt; 5 ani"
)</f>
        <v>1–3 ani</v>
      </c>
      <c r="U182">
        <f t="shared" si="8"/>
        <v>1</v>
      </c>
    </row>
    <row r="183" spans="1:21" x14ac:dyDescent="0.3">
      <c r="A183">
        <v>1279</v>
      </c>
      <c r="B183" t="s">
        <v>89</v>
      </c>
      <c r="C183" t="s">
        <v>200</v>
      </c>
      <c r="D183" t="s">
        <v>18</v>
      </c>
      <c r="E183" s="1">
        <v>33765</v>
      </c>
      <c r="F183" s="1">
        <v>45875</v>
      </c>
      <c r="G183">
        <v>10</v>
      </c>
      <c r="H183" t="s">
        <v>49</v>
      </c>
      <c r="I183" t="s">
        <v>30</v>
      </c>
      <c r="J183" t="s">
        <v>21</v>
      </c>
      <c r="K183" t="s">
        <v>22</v>
      </c>
      <c r="L183" s="15">
        <v>8700</v>
      </c>
      <c r="M183" t="s">
        <v>32</v>
      </c>
      <c r="P183" t="s">
        <v>337</v>
      </c>
      <c r="Q183" t="str">
        <f>_xlfn.XLOOKUP(angajati__2[[#This Row],[id_departament]],departamente!A:A,departamente!B:B)</f>
        <v>IT</v>
      </c>
      <c r="R183">
        <f t="shared" si="6"/>
        <v>33</v>
      </c>
      <c r="S183">
        <f t="shared" si="7"/>
        <v>0.4</v>
      </c>
      <c r="T183" t="str" cm="1">
        <f t="array" ref="T183">_xlfn.IFS(
    S183&lt;1, "&lt; 1 an",
    S183&lt;3, "1–3 ani",
    S183&lt;5, "3–5 ani",
    S183&gt;=5, "&gt; 5 ani"
)</f>
        <v>&lt; 1 an</v>
      </c>
      <c r="U183">
        <f t="shared" si="8"/>
        <v>0</v>
      </c>
    </row>
    <row r="184" spans="1:21" x14ac:dyDescent="0.3">
      <c r="A184">
        <v>1478</v>
      </c>
      <c r="B184" t="s">
        <v>134</v>
      </c>
      <c r="C184" t="s">
        <v>155</v>
      </c>
      <c r="D184" t="s">
        <v>37</v>
      </c>
      <c r="E184" s="1">
        <v>31743</v>
      </c>
      <c r="F184" s="1">
        <v>43292</v>
      </c>
      <c r="G184">
        <v>10</v>
      </c>
      <c r="H184" t="s">
        <v>44</v>
      </c>
      <c r="I184" t="s">
        <v>45</v>
      </c>
      <c r="J184" t="s">
        <v>21</v>
      </c>
      <c r="K184" t="s">
        <v>22</v>
      </c>
      <c r="L184" s="15">
        <v>7000</v>
      </c>
      <c r="M184" t="s">
        <v>32</v>
      </c>
      <c r="P184" t="s">
        <v>338</v>
      </c>
      <c r="Q184" t="str">
        <f>_xlfn.XLOOKUP(angajati__2[[#This Row],[id_departament]],departamente!A:A,departamente!B:B)</f>
        <v>IT</v>
      </c>
      <c r="R184">
        <f t="shared" si="6"/>
        <v>39</v>
      </c>
      <c r="S184">
        <f t="shared" si="7"/>
        <v>7.5</v>
      </c>
      <c r="T184" t="str" cm="1">
        <f t="array" ref="T184">_xlfn.IFS(
    S184&lt;1, "&lt; 1 an",
    S184&lt;3, "1–3 ani",
    S184&lt;5, "3–5 ani",
    S184&gt;=5, "&gt; 5 ani"
)</f>
        <v>&gt; 5 ani</v>
      </c>
      <c r="U184">
        <f t="shared" si="8"/>
        <v>0</v>
      </c>
    </row>
    <row r="185" spans="1:21" x14ac:dyDescent="0.3">
      <c r="A185">
        <v>1006</v>
      </c>
      <c r="B185" t="s">
        <v>125</v>
      </c>
      <c r="C185" t="s">
        <v>213</v>
      </c>
      <c r="D185" t="s">
        <v>18</v>
      </c>
      <c r="E185" s="1">
        <v>34182</v>
      </c>
      <c r="F185" s="1">
        <v>45183</v>
      </c>
      <c r="G185">
        <v>50</v>
      </c>
      <c r="H185" t="s">
        <v>71</v>
      </c>
      <c r="I185" t="s">
        <v>30</v>
      </c>
      <c r="J185" t="s">
        <v>52</v>
      </c>
      <c r="K185" t="s">
        <v>22</v>
      </c>
      <c r="L185" s="15">
        <v>6300</v>
      </c>
      <c r="M185" t="s">
        <v>23</v>
      </c>
      <c r="N185" s="1">
        <v>45913</v>
      </c>
      <c r="O185" t="s">
        <v>105</v>
      </c>
      <c r="P185" t="s">
        <v>340</v>
      </c>
      <c r="Q185" t="str">
        <f>_xlfn.XLOOKUP(angajati__2[[#This Row],[id_departament]],departamente!A:A,departamente!B:B)</f>
        <v>Financiar</v>
      </c>
      <c r="R185">
        <f t="shared" si="6"/>
        <v>32</v>
      </c>
      <c r="S185">
        <f t="shared" si="7"/>
        <v>2</v>
      </c>
      <c r="T185" t="str" cm="1">
        <f t="array" ref="T185">_xlfn.IFS(
    S185&lt;1, "&lt; 1 an",
    S185&lt;3, "1–3 ani",
    S185&lt;5, "3–5 ani",
    S185&gt;=5, "&gt; 5 ani"
)</f>
        <v>1–3 ani</v>
      </c>
      <c r="U185">
        <f t="shared" si="8"/>
        <v>1</v>
      </c>
    </row>
    <row r="186" spans="1:21" x14ac:dyDescent="0.3">
      <c r="A186">
        <v>1076</v>
      </c>
      <c r="B186" t="s">
        <v>122</v>
      </c>
      <c r="C186" t="s">
        <v>163</v>
      </c>
      <c r="D186" t="s">
        <v>18</v>
      </c>
      <c r="E186" s="1">
        <v>35015</v>
      </c>
      <c r="F186" s="1">
        <v>45371</v>
      </c>
      <c r="G186">
        <v>60</v>
      </c>
      <c r="H186" t="s">
        <v>29</v>
      </c>
      <c r="I186" t="s">
        <v>45</v>
      </c>
      <c r="J186" t="s">
        <v>21</v>
      </c>
      <c r="K186" t="s">
        <v>22</v>
      </c>
      <c r="L186" s="15">
        <v>2900</v>
      </c>
      <c r="M186" t="s">
        <v>23</v>
      </c>
      <c r="N186" s="1">
        <v>45676</v>
      </c>
      <c r="O186" t="s">
        <v>186</v>
      </c>
      <c r="P186" t="s">
        <v>341</v>
      </c>
      <c r="Q186" t="str">
        <f>_xlfn.XLOOKUP(angajati__2[[#This Row],[id_departament]],departamente!A:A,departamente!B:B)</f>
        <v>Suport Clienți</v>
      </c>
      <c r="R186">
        <f t="shared" si="6"/>
        <v>30</v>
      </c>
      <c r="S186">
        <f t="shared" si="7"/>
        <v>0.8</v>
      </c>
      <c r="T186" t="str" cm="1">
        <f t="array" ref="T186">_xlfn.IFS(
    S186&lt;1, "&lt; 1 an",
    S186&lt;3, "1–3 ani",
    S186&lt;5, "3–5 ani",
    S186&gt;=5, "&gt; 5 ani"
)</f>
        <v>&lt; 1 an</v>
      </c>
      <c r="U186">
        <f t="shared" si="8"/>
        <v>1</v>
      </c>
    </row>
    <row r="187" spans="1:21" x14ac:dyDescent="0.3">
      <c r="A187">
        <v>1143</v>
      </c>
      <c r="B187" t="s">
        <v>73</v>
      </c>
      <c r="C187" t="s">
        <v>27</v>
      </c>
      <c r="D187" t="s">
        <v>37</v>
      </c>
      <c r="E187" s="1">
        <v>28674</v>
      </c>
      <c r="F187" s="1">
        <v>42839</v>
      </c>
      <c r="G187">
        <v>10</v>
      </c>
      <c r="H187" t="s">
        <v>108</v>
      </c>
      <c r="I187" t="s">
        <v>39</v>
      </c>
      <c r="J187" t="s">
        <v>46</v>
      </c>
      <c r="K187" t="s">
        <v>22</v>
      </c>
      <c r="L187" s="15">
        <v>13100</v>
      </c>
      <c r="M187" t="s">
        <v>32</v>
      </c>
      <c r="P187" t="s">
        <v>342</v>
      </c>
      <c r="Q187" t="str">
        <f>_xlfn.XLOOKUP(angajati__2[[#This Row],[id_departament]],departamente!A:A,departamente!B:B)</f>
        <v>IT</v>
      </c>
      <c r="R187">
        <f t="shared" si="6"/>
        <v>47</v>
      </c>
      <c r="S187">
        <f t="shared" si="7"/>
        <v>8.6999999999999993</v>
      </c>
      <c r="T187" t="str" cm="1">
        <f t="array" ref="T187">_xlfn.IFS(
    S187&lt;1, "&lt; 1 an",
    S187&lt;3, "1–3 ani",
    S187&lt;5, "3–5 ani",
    S187&gt;=5, "&gt; 5 ani"
)</f>
        <v>&gt; 5 ani</v>
      </c>
      <c r="U187">
        <f t="shared" si="8"/>
        <v>0</v>
      </c>
    </row>
    <row r="188" spans="1:21" x14ac:dyDescent="0.3">
      <c r="A188">
        <v>1048</v>
      </c>
      <c r="B188" t="s">
        <v>85</v>
      </c>
      <c r="C188" t="s">
        <v>163</v>
      </c>
      <c r="D188" t="s">
        <v>18</v>
      </c>
      <c r="E188" s="1">
        <v>32967</v>
      </c>
      <c r="F188" s="1">
        <v>45653</v>
      </c>
      <c r="G188">
        <v>10</v>
      </c>
      <c r="H188" t="s">
        <v>49</v>
      </c>
      <c r="I188" t="s">
        <v>30</v>
      </c>
      <c r="J188" t="s">
        <v>21</v>
      </c>
      <c r="K188" t="s">
        <v>22</v>
      </c>
      <c r="L188" s="15">
        <v>8650</v>
      </c>
      <c r="M188" t="s">
        <v>32</v>
      </c>
      <c r="P188" t="s">
        <v>343</v>
      </c>
      <c r="Q188" t="str">
        <f>_xlfn.XLOOKUP(angajati__2[[#This Row],[id_departament]],departamente!A:A,departamente!B:B)</f>
        <v>IT</v>
      </c>
      <c r="R188">
        <f t="shared" si="6"/>
        <v>35</v>
      </c>
      <c r="S188">
        <f t="shared" si="7"/>
        <v>1</v>
      </c>
      <c r="T188" t="str" cm="1">
        <f t="array" ref="T188">_xlfn.IFS(
    S188&lt;1, "&lt; 1 an",
    S188&lt;3, "1–3 ani",
    S188&lt;5, "3–5 ani",
    S188&gt;=5, "&gt; 5 ani"
)</f>
        <v>1–3 ani</v>
      </c>
      <c r="U188">
        <f t="shared" si="8"/>
        <v>0</v>
      </c>
    </row>
    <row r="189" spans="1:21" x14ac:dyDescent="0.3">
      <c r="A189">
        <v>1047</v>
      </c>
      <c r="B189" t="s">
        <v>150</v>
      </c>
      <c r="C189" t="s">
        <v>126</v>
      </c>
      <c r="D189" t="s">
        <v>37</v>
      </c>
      <c r="E189" s="1">
        <v>28985</v>
      </c>
      <c r="F189" s="1">
        <v>42795</v>
      </c>
      <c r="G189">
        <v>70</v>
      </c>
      <c r="H189" t="s">
        <v>116</v>
      </c>
      <c r="I189" t="s">
        <v>30</v>
      </c>
      <c r="J189" t="s">
        <v>31</v>
      </c>
      <c r="K189" t="s">
        <v>22</v>
      </c>
      <c r="L189" s="15">
        <v>4750</v>
      </c>
      <c r="M189" t="s">
        <v>32</v>
      </c>
      <c r="P189" t="s">
        <v>344</v>
      </c>
      <c r="Q189" t="str">
        <f>_xlfn.XLOOKUP(angajati__2[[#This Row],[id_departament]],departamente!A:A,departamente!B:B)</f>
        <v>Operațiuni</v>
      </c>
      <c r="R189">
        <f t="shared" si="6"/>
        <v>46</v>
      </c>
      <c r="S189">
        <f t="shared" si="7"/>
        <v>8.8000000000000007</v>
      </c>
      <c r="T189" t="str" cm="1">
        <f t="array" ref="T189">_xlfn.IFS(
    S189&lt;1, "&lt; 1 an",
    S189&lt;3, "1–3 ani",
    S189&lt;5, "3–5 ani",
    S189&gt;=5, "&gt; 5 ani"
)</f>
        <v>&gt; 5 ani</v>
      </c>
      <c r="U189">
        <f t="shared" si="8"/>
        <v>0</v>
      </c>
    </row>
    <row r="190" spans="1:21" x14ac:dyDescent="0.3">
      <c r="A190">
        <v>1071</v>
      </c>
      <c r="B190" t="s">
        <v>134</v>
      </c>
      <c r="C190" t="s">
        <v>110</v>
      </c>
      <c r="D190" t="s">
        <v>37</v>
      </c>
      <c r="E190" s="1">
        <v>36522</v>
      </c>
      <c r="F190" s="1">
        <v>45002</v>
      </c>
      <c r="G190">
        <v>10</v>
      </c>
      <c r="H190" t="s">
        <v>87</v>
      </c>
      <c r="I190" t="s">
        <v>45</v>
      </c>
      <c r="J190" t="s">
        <v>21</v>
      </c>
      <c r="K190" t="s">
        <v>22</v>
      </c>
      <c r="L190" s="15">
        <v>7400</v>
      </c>
      <c r="M190" t="s">
        <v>32</v>
      </c>
      <c r="P190" t="s">
        <v>345</v>
      </c>
      <c r="Q190" t="str">
        <f>_xlfn.XLOOKUP(angajati__2[[#This Row],[id_departament]],departamente!A:A,departamente!B:B)</f>
        <v>IT</v>
      </c>
      <c r="R190">
        <f t="shared" si="6"/>
        <v>26</v>
      </c>
      <c r="S190">
        <f t="shared" si="7"/>
        <v>2.8</v>
      </c>
      <c r="T190" t="str" cm="1">
        <f t="array" ref="T190">_xlfn.IFS(
    S190&lt;1, "&lt; 1 an",
    S190&lt;3, "1–3 ani",
    S190&lt;5, "3–5 ani",
    S190&gt;=5, "&gt; 5 ani"
)</f>
        <v>1–3 ani</v>
      </c>
      <c r="U190">
        <f t="shared" si="8"/>
        <v>0</v>
      </c>
    </row>
    <row r="191" spans="1:21" x14ac:dyDescent="0.3">
      <c r="A191">
        <v>1080</v>
      </c>
      <c r="B191" t="s">
        <v>80</v>
      </c>
      <c r="C191" t="s">
        <v>194</v>
      </c>
      <c r="D191" t="s">
        <v>37</v>
      </c>
      <c r="E191" s="1">
        <v>28624</v>
      </c>
      <c r="F191" s="1">
        <v>45261</v>
      </c>
      <c r="G191">
        <v>80</v>
      </c>
      <c r="H191" t="s">
        <v>159</v>
      </c>
      <c r="I191" t="s">
        <v>39</v>
      </c>
      <c r="J191" t="s">
        <v>21</v>
      </c>
      <c r="K191" t="s">
        <v>22</v>
      </c>
      <c r="L191" s="15">
        <v>12100</v>
      </c>
      <c r="M191" t="s">
        <v>32</v>
      </c>
      <c r="P191" t="s">
        <v>346</v>
      </c>
      <c r="Q191" t="str">
        <f>_xlfn.XLOOKUP(angajati__2[[#This Row],[id_departament]],departamente!A:A,departamente!B:B)</f>
        <v>Juridic</v>
      </c>
      <c r="R191">
        <f t="shared" si="6"/>
        <v>47</v>
      </c>
      <c r="S191">
        <f t="shared" si="7"/>
        <v>2.1</v>
      </c>
      <c r="T191" t="str" cm="1">
        <f t="array" ref="T191">_xlfn.IFS(
    S191&lt;1, "&lt; 1 an",
    S191&lt;3, "1–3 ani",
    S191&lt;5, "3–5 ani",
    S191&gt;=5, "&gt; 5 ani"
)</f>
        <v>1–3 ani</v>
      </c>
      <c r="U191">
        <f t="shared" si="8"/>
        <v>0</v>
      </c>
    </row>
    <row r="192" spans="1:21" x14ac:dyDescent="0.3">
      <c r="A192">
        <v>1031</v>
      </c>
      <c r="B192" t="s">
        <v>73</v>
      </c>
      <c r="C192" t="s">
        <v>126</v>
      </c>
      <c r="D192" t="s">
        <v>37</v>
      </c>
      <c r="E192" s="1">
        <v>28470</v>
      </c>
      <c r="F192" s="1">
        <v>44953</v>
      </c>
      <c r="G192">
        <v>20</v>
      </c>
      <c r="H192" t="s">
        <v>104</v>
      </c>
      <c r="I192" t="s">
        <v>30</v>
      </c>
      <c r="J192" t="s">
        <v>21</v>
      </c>
      <c r="K192" t="s">
        <v>22</v>
      </c>
      <c r="L192" s="15">
        <v>5950</v>
      </c>
      <c r="M192" t="s">
        <v>23</v>
      </c>
      <c r="N192" s="1">
        <v>45806</v>
      </c>
      <c r="O192" t="s">
        <v>186</v>
      </c>
      <c r="P192" t="s">
        <v>347</v>
      </c>
      <c r="Q192" t="str">
        <f>_xlfn.XLOOKUP(angajati__2[[#This Row],[id_departament]],departamente!A:A,departamente!B:B)</f>
        <v>Vânzări</v>
      </c>
      <c r="R192">
        <f t="shared" si="6"/>
        <v>48</v>
      </c>
      <c r="S192">
        <f t="shared" si="7"/>
        <v>2.2999999999999998</v>
      </c>
      <c r="T192" t="str" cm="1">
        <f t="array" ref="T192">_xlfn.IFS(
    S192&lt;1, "&lt; 1 an",
    S192&lt;3, "1–3 ani",
    S192&lt;5, "3–5 ani",
    S192&gt;=5, "&gt; 5 ani"
)</f>
        <v>1–3 ani</v>
      </c>
      <c r="U192">
        <f t="shared" si="8"/>
        <v>1</v>
      </c>
    </row>
    <row r="193" spans="1:21" x14ac:dyDescent="0.3">
      <c r="A193">
        <v>1012</v>
      </c>
      <c r="B193" t="s">
        <v>67</v>
      </c>
      <c r="C193" t="s">
        <v>27</v>
      </c>
      <c r="D193" t="s">
        <v>37</v>
      </c>
      <c r="E193" s="1">
        <v>32847</v>
      </c>
      <c r="F193" s="1">
        <v>44092</v>
      </c>
      <c r="G193">
        <v>10</v>
      </c>
      <c r="H193" t="s">
        <v>108</v>
      </c>
      <c r="I193" t="s">
        <v>30</v>
      </c>
      <c r="J193" t="s">
        <v>21</v>
      </c>
      <c r="K193" t="s">
        <v>22</v>
      </c>
      <c r="L193" s="15">
        <v>7100</v>
      </c>
      <c r="M193" t="s">
        <v>23</v>
      </c>
      <c r="N193" s="1">
        <v>45233</v>
      </c>
      <c r="O193" t="s">
        <v>186</v>
      </c>
      <c r="P193" t="s">
        <v>348</v>
      </c>
      <c r="Q193" t="str">
        <f>_xlfn.XLOOKUP(angajati__2[[#This Row],[id_departament]],departamente!A:A,departamente!B:B)</f>
        <v>IT</v>
      </c>
      <c r="R193">
        <f t="shared" si="6"/>
        <v>36</v>
      </c>
      <c r="S193">
        <f t="shared" si="7"/>
        <v>3.1</v>
      </c>
      <c r="T193" t="str" cm="1">
        <f t="array" ref="T193">_xlfn.IFS(
    S193&lt;1, "&lt; 1 an",
    S193&lt;3, "1–3 ani",
    S193&lt;5, "3–5 ani",
    S193&gt;=5, "&gt; 5 ani"
)</f>
        <v>3–5 ani</v>
      </c>
      <c r="U193">
        <f t="shared" si="8"/>
        <v>1</v>
      </c>
    </row>
    <row r="194" spans="1:21" x14ac:dyDescent="0.3">
      <c r="A194">
        <v>1350</v>
      </c>
      <c r="B194" t="s">
        <v>112</v>
      </c>
      <c r="C194" t="s">
        <v>155</v>
      </c>
      <c r="D194" t="s">
        <v>37</v>
      </c>
      <c r="E194" s="1">
        <v>31711</v>
      </c>
      <c r="F194" s="1">
        <v>45391</v>
      </c>
      <c r="G194">
        <v>60</v>
      </c>
      <c r="H194" t="s">
        <v>29</v>
      </c>
      <c r="I194" t="s">
        <v>30</v>
      </c>
      <c r="J194" t="s">
        <v>52</v>
      </c>
      <c r="K194" t="s">
        <v>22</v>
      </c>
      <c r="L194" s="15">
        <v>5550</v>
      </c>
      <c r="M194" t="s">
        <v>32</v>
      </c>
      <c r="P194" t="s">
        <v>349</v>
      </c>
      <c r="Q194" t="str">
        <f>_xlfn.XLOOKUP(angajati__2[[#This Row],[id_departament]],departamente!A:A,departamente!B:B)</f>
        <v>Suport Clienți</v>
      </c>
      <c r="R194">
        <f t="shared" ref="R194:R257" si="9">DATEDIF(E194,DATE(2025,12,31), "y")</f>
        <v>39</v>
      </c>
      <c r="S194">
        <f t="shared" ref="S194:S257" si="10">ROUND(YEARFRAC(F194, IF(M194="Plecat", N194, DATE(2025,12,31)), 1), 1)</f>
        <v>1.7</v>
      </c>
      <c r="T194" t="str" cm="1">
        <f t="array" ref="T194">_xlfn.IFS(
    S194&lt;1, "&lt; 1 an",
    S194&lt;3, "1–3 ani",
    S194&lt;5, "3–5 ani",
    S194&gt;=5, "&gt; 5 ani"
)</f>
        <v>1–3 ani</v>
      </c>
      <c r="U194">
        <f t="shared" ref="U194:U257" si="11">IF(M194="Plecat", 1, 0)</f>
        <v>0</v>
      </c>
    </row>
    <row r="195" spans="1:21" x14ac:dyDescent="0.3">
      <c r="A195">
        <v>1469</v>
      </c>
      <c r="B195" t="s">
        <v>136</v>
      </c>
      <c r="C195" t="s">
        <v>206</v>
      </c>
      <c r="D195" t="s">
        <v>18</v>
      </c>
      <c r="E195" s="1">
        <v>27436</v>
      </c>
      <c r="F195" s="1">
        <v>44313</v>
      </c>
      <c r="G195">
        <v>60</v>
      </c>
      <c r="H195" t="s">
        <v>78</v>
      </c>
      <c r="I195" t="s">
        <v>39</v>
      </c>
      <c r="J195" t="s">
        <v>52</v>
      </c>
      <c r="K195" t="s">
        <v>22</v>
      </c>
      <c r="L195" s="15">
        <v>6550</v>
      </c>
      <c r="M195" t="s">
        <v>32</v>
      </c>
      <c r="P195" t="s">
        <v>350</v>
      </c>
      <c r="Q195" t="str">
        <f>_xlfn.XLOOKUP(angajati__2[[#This Row],[id_departament]],departamente!A:A,departamente!B:B)</f>
        <v>Suport Clienți</v>
      </c>
      <c r="R195">
        <f t="shared" si="9"/>
        <v>50</v>
      </c>
      <c r="S195">
        <f t="shared" si="10"/>
        <v>4.7</v>
      </c>
      <c r="T195" t="str" cm="1">
        <f t="array" ref="T195">_xlfn.IFS(
    S195&lt;1, "&lt; 1 an",
    S195&lt;3, "1–3 ani",
    S195&lt;5, "3–5 ani",
    S195&gt;=5, "&gt; 5 ani"
)</f>
        <v>3–5 ani</v>
      </c>
      <c r="U195">
        <f t="shared" si="11"/>
        <v>0</v>
      </c>
    </row>
    <row r="196" spans="1:21" x14ac:dyDescent="0.3">
      <c r="A196">
        <v>1271</v>
      </c>
      <c r="B196" t="s">
        <v>100</v>
      </c>
      <c r="C196" t="s">
        <v>140</v>
      </c>
      <c r="D196" t="s">
        <v>37</v>
      </c>
      <c r="E196" s="1">
        <v>33307</v>
      </c>
      <c r="F196" s="1">
        <v>45565</v>
      </c>
      <c r="G196">
        <v>70</v>
      </c>
      <c r="H196" t="s">
        <v>38</v>
      </c>
      <c r="I196" t="s">
        <v>45</v>
      </c>
      <c r="J196" t="s">
        <v>31</v>
      </c>
      <c r="K196" t="s">
        <v>22</v>
      </c>
      <c r="L196" s="15">
        <v>3450</v>
      </c>
      <c r="M196" t="s">
        <v>32</v>
      </c>
      <c r="P196" t="s">
        <v>351</v>
      </c>
      <c r="Q196" t="str">
        <f>_xlfn.XLOOKUP(angajati__2[[#This Row],[id_departament]],departamente!A:A,departamente!B:B)</f>
        <v>Operațiuni</v>
      </c>
      <c r="R196">
        <f t="shared" si="9"/>
        <v>34</v>
      </c>
      <c r="S196">
        <f t="shared" si="10"/>
        <v>1.3</v>
      </c>
      <c r="T196" t="str" cm="1">
        <f t="array" ref="T196">_xlfn.IFS(
    S196&lt;1, "&lt; 1 an",
    S196&lt;3, "1–3 ani",
    S196&lt;5, "3–5 ani",
    S196&gt;=5, "&gt; 5 ani"
)</f>
        <v>1–3 ani</v>
      </c>
      <c r="U196">
        <f t="shared" si="11"/>
        <v>0</v>
      </c>
    </row>
    <row r="197" spans="1:21" x14ac:dyDescent="0.3">
      <c r="A197">
        <v>1116</v>
      </c>
      <c r="B197" t="s">
        <v>157</v>
      </c>
      <c r="C197" t="s">
        <v>266</v>
      </c>
      <c r="D197" t="s">
        <v>37</v>
      </c>
      <c r="E197" s="1">
        <v>34429</v>
      </c>
      <c r="F197" s="1">
        <v>42677</v>
      </c>
      <c r="G197">
        <v>70</v>
      </c>
      <c r="H197" t="s">
        <v>38</v>
      </c>
      <c r="I197" t="s">
        <v>30</v>
      </c>
      <c r="J197" t="s">
        <v>21</v>
      </c>
      <c r="K197" t="s">
        <v>22</v>
      </c>
      <c r="L197" s="15">
        <v>4250</v>
      </c>
      <c r="M197" t="s">
        <v>32</v>
      </c>
      <c r="P197" t="s">
        <v>352</v>
      </c>
      <c r="Q197" t="str">
        <f>_xlfn.XLOOKUP(angajati__2[[#This Row],[id_departament]],departamente!A:A,departamente!B:B)</f>
        <v>Operațiuni</v>
      </c>
      <c r="R197">
        <f t="shared" si="9"/>
        <v>31</v>
      </c>
      <c r="S197">
        <f t="shared" si="10"/>
        <v>9.1999999999999993</v>
      </c>
      <c r="T197" t="str" cm="1">
        <f t="array" ref="T197">_xlfn.IFS(
    S197&lt;1, "&lt; 1 an",
    S197&lt;3, "1–3 ani",
    S197&lt;5, "3–5 ani",
    S197&gt;=5, "&gt; 5 ani"
)</f>
        <v>&gt; 5 ani</v>
      </c>
      <c r="U197">
        <f t="shared" si="11"/>
        <v>0</v>
      </c>
    </row>
    <row r="198" spans="1:21" x14ac:dyDescent="0.3">
      <c r="A198">
        <v>1026</v>
      </c>
      <c r="B198" t="s">
        <v>112</v>
      </c>
      <c r="C198" t="s">
        <v>103</v>
      </c>
      <c r="D198" t="s">
        <v>37</v>
      </c>
      <c r="E198" s="1">
        <v>31400</v>
      </c>
      <c r="F198" s="1">
        <v>44797</v>
      </c>
      <c r="G198">
        <v>20</v>
      </c>
      <c r="H198" t="s">
        <v>68</v>
      </c>
      <c r="I198" t="s">
        <v>45</v>
      </c>
      <c r="J198" t="s">
        <v>21</v>
      </c>
      <c r="K198" t="s">
        <v>22</v>
      </c>
      <c r="L198" s="15">
        <v>4500</v>
      </c>
      <c r="M198" t="s">
        <v>32</v>
      </c>
      <c r="P198" t="s">
        <v>353</v>
      </c>
      <c r="Q198" t="str">
        <f>_xlfn.XLOOKUP(angajati__2[[#This Row],[id_departament]],departamente!A:A,departamente!B:B)</f>
        <v>Vânzări</v>
      </c>
      <c r="R198">
        <f t="shared" si="9"/>
        <v>40</v>
      </c>
      <c r="S198">
        <f t="shared" si="10"/>
        <v>3.4</v>
      </c>
      <c r="T198" t="str" cm="1">
        <f t="array" ref="T198">_xlfn.IFS(
    S198&lt;1, "&lt; 1 an",
    S198&lt;3, "1–3 ani",
    S198&lt;5, "3–5 ani",
    S198&gt;=5, "&gt; 5 ani"
)</f>
        <v>3–5 ani</v>
      </c>
      <c r="U198">
        <f t="shared" si="11"/>
        <v>0</v>
      </c>
    </row>
    <row r="199" spans="1:21" x14ac:dyDescent="0.3">
      <c r="A199">
        <v>1196</v>
      </c>
      <c r="B199" t="s">
        <v>80</v>
      </c>
      <c r="C199" t="s">
        <v>163</v>
      </c>
      <c r="D199" t="s">
        <v>18</v>
      </c>
      <c r="E199" s="1">
        <v>34786</v>
      </c>
      <c r="F199" s="1">
        <v>44094</v>
      </c>
      <c r="G199">
        <v>50</v>
      </c>
      <c r="H199" t="s">
        <v>71</v>
      </c>
      <c r="I199" t="s">
        <v>45</v>
      </c>
      <c r="J199" t="s">
        <v>21</v>
      </c>
      <c r="K199" t="s">
        <v>22</v>
      </c>
      <c r="L199" s="15">
        <v>4200</v>
      </c>
      <c r="M199" t="s">
        <v>32</v>
      </c>
      <c r="P199" t="s">
        <v>354</v>
      </c>
      <c r="Q199" t="str">
        <f>_xlfn.XLOOKUP(angajati__2[[#This Row],[id_departament]],departamente!A:A,departamente!B:B)</f>
        <v>Financiar</v>
      </c>
      <c r="R199">
        <f t="shared" si="9"/>
        <v>30</v>
      </c>
      <c r="S199">
        <f t="shared" si="10"/>
        <v>5.3</v>
      </c>
      <c r="T199" t="str" cm="1">
        <f t="array" ref="T199">_xlfn.IFS(
    S199&lt;1, "&lt; 1 an",
    S199&lt;3, "1–3 ani",
    S199&lt;5, "3–5 ani",
    S199&gt;=5, "&gt; 5 ani"
)</f>
        <v>&gt; 5 ani</v>
      </c>
      <c r="U199">
        <f t="shared" si="11"/>
        <v>0</v>
      </c>
    </row>
    <row r="200" spans="1:21" x14ac:dyDescent="0.3">
      <c r="A200">
        <v>1392</v>
      </c>
      <c r="B200" t="s">
        <v>54</v>
      </c>
      <c r="C200" t="s">
        <v>213</v>
      </c>
      <c r="D200" t="s">
        <v>18</v>
      </c>
      <c r="E200" s="1">
        <v>30736</v>
      </c>
      <c r="F200" s="1">
        <v>42630</v>
      </c>
      <c r="G200">
        <v>70</v>
      </c>
      <c r="H200" t="s">
        <v>116</v>
      </c>
      <c r="I200" t="s">
        <v>45</v>
      </c>
      <c r="J200" t="s">
        <v>31</v>
      </c>
      <c r="K200" t="s">
        <v>22</v>
      </c>
      <c r="L200" s="15">
        <v>3500</v>
      </c>
      <c r="M200" t="s">
        <v>32</v>
      </c>
      <c r="P200" t="s">
        <v>355</v>
      </c>
      <c r="Q200" t="str">
        <f>_xlfn.XLOOKUP(angajati__2[[#This Row],[id_departament]],departamente!A:A,departamente!B:B)</f>
        <v>Operațiuni</v>
      </c>
      <c r="R200">
        <f t="shared" si="9"/>
        <v>41</v>
      </c>
      <c r="S200">
        <f t="shared" si="10"/>
        <v>9.3000000000000007</v>
      </c>
      <c r="T200" t="str" cm="1">
        <f t="array" ref="T200">_xlfn.IFS(
    S200&lt;1, "&lt; 1 an",
    S200&lt;3, "1–3 ani",
    S200&lt;5, "3–5 ani",
    S200&gt;=5, "&gt; 5 ani"
)</f>
        <v>&gt; 5 ani</v>
      </c>
      <c r="U200">
        <f t="shared" si="11"/>
        <v>0</v>
      </c>
    </row>
    <row r="201" spans="1:21" x14ac:dyDescent="0.3">
      <c r="A201">
        <v>1066</v>
      </c>
      <c r="B201" t="s">
        <v>164</v>
      </c>
      <c r="C201" t="s">
        <v>140</v>
      </c>
      <c r="D201" t="s">
        <v>37</v>
      </c>
      <c r="E201" s="1">
        <v>38196</v>
      </c>
      <c r="F201" s="1">
        <v>45641</v>
      </c>
      <c r="G201">
        <v>80</v>
      </c>
      <c r="H201" t="s">
        <v>159</v>
      </c>
      <c r="I201" t="s">
        <v>45</v>
      </c>
      <c r="J201" t="s">
        <v>21</v>
      </c>
      <c r="K201" t="s">
        <v>22</v>
      </c>
      <c r="L201" s="15">
        <v>5200</v>
      </c>
      <c r="M201" t="s">
        <v>32</v>
      </c>
      <c r="P201" t="s">
        <v>356</v>
      </c>
      <c r="Q201" t="str">
        <f>_xlfn.XLOOKUP(angajati__2[[#This Row],[id_departament]],departamente!A:A,departamente!B:B)</f>
        <v>Juridic</v>
      </c>
      <c r="R201">
        <f t="shared" si="9"/>
        <v>21</v>
      </c>
      <c r="S201">
        <f t="shared" si="10"/>
        <v>1</v>
      </c>
      <c r="T201" t="str" cm="1">
        <f t="array" ref="T201">_xlfn.IFS(
    S201&lt;1, "&lt; 1 an",
    S201&lt;3, "1–3 ani",
    S201&lt;5, "3–5 ani",
    S201&gt;=5, "&gt; 5 ani"
)</f>
        <v>1–3 ani</v>
      </c>
      <c r="U201">
        <f t="shared" si="11"/>
        <v>0</v>
      </c>
    </row>
    <row r="202" spans="1:21" x14ac:dyDescent="0.3">
      <c r="A202">
        <v>1290</v>
      </c>
      <c r="B202" t="s">
        <v>89</v>
      </c>
      <c r="C202" t="s">
        <v>216</v>
      </c>
      <c r="D202" t="s">
        <v>18</v>
      </c>
      <c r="E202" s="1">
        <v>32589</v>
      </c>
      <c r="F202" s="1">
        <v>43164</v>
      </c>
      <c r="G202">
        <v>40</v>
      </c>
      <c r="H202" t="s">
        <v>120</v>
      </c>
      <c r="I202" t="s">
        <v>39</v>
      </c>
      <c r="J202" t="s">
        <v>21</v>
      </c>
      <c r="K202" t="s">
        <v>22</v>
      </c>
      <c r="L202" s="15">
        <v>7950</v>
      </c>
      <c r="M202" t="s">
        <v>32</v>
      </c>
      <c r="P202" t="s">
        <v>357</v>
      </c>
      <c r="Q202" t="str">
        <f>_xlfn.XLOOKUP(angajati__2[[#This Row],[id_departament]],departamente!A:A,departamente!B:B)</f>
        <v>Resurse Umane</v>
      </c>
      <c r="R202">
        <f t="shared" si="9"/>
        <v>36</v>
      </c>
      <c r="S202">
        <f t="shared" si="10"/>
        <v>7.8</v>
      </c>
      <c r="T202" t="str" cm="1">
        <f t="array" ref="T202">_xlfn.IFS(
    S202&lt;1, "&lt; 1 an",
    S202&lt;3, "1–3 ani",
    S202&lt;5, "3–5 ani",
    S202&gt;=5, "&gt; 5 ani"
)</f>
        <v>&gt; 5 ani</v>
      </c>
      <c r="U202">
        <f t="shared" si="11"/>
        <v>0</v>
      </c>
    </row>
    <row r="203" spans="1:21" x14ac:dyDescent="0.3">
      <c r="A203">
        <v>1046</v>
      </c>
      <c r="B203" t="s">
        <v>58</v>
      </c>
      <c r="C203" t="s">
        <v>194</v>
      </c>
      <c r="D203" t="s">
        <v>37</v>
      </c>
      <c r="E203" s="1">
        <v>29607</v>
      </c>
      <c r="F203" s="1">
        <v>44742</v>
      </c>
      <c r="G203">
        <v>60</v>
      </c>
      <c r="H203" t="s">
        <v>78</v>
      </c>
      <c r="I203" t="s">
        <v>39</v>
      </c>
      <c r="J203" t="s">
        <v>52</v>
      </c>
      <c r="K203" t="s">
        <v>22</v>
      </c>
      <c r="L203" s="15">
        <v>6500</v>
      </c>
      <c r="M203" t="s">
        <v>32</v>
      </c>
      <c r="P203" t="s">
        <v>358</v>
      </c>
      <c r="Q203" t="str">
        <f>_xlfn.XLOOKUP(angajati__2[[#This Row],[id_departament]],departamente!A:A,departamente!B:B)</f>
        <v>Suport Clienți</v>
      </c>
      <c r="R203">
        <f t="shared" si="9"/>
        <v>44</v>
      </c>
      <c r="S203">
        <f t="shared" si="10"/>
        <v>3.5</v>
      </c>
      <c r="T203" t="str" cm="1">
        <f t="array" ref="T203">_xlfn.IFS(
    S203&lt;1, "&lt; 1 an",
    S203&lt;3, "1–3 ani",
    S203&lt;5, "3–5 ani",
    S203&gt;=5, "&gt; 5 ani"
)</f>
        <v>3–5 ani</v>
      </c>
      <c r="U203">
        <f t="shared" si="11"/>
        <v>0</v>
      </c>
    </row>
    <row r="204" spans="1:21" x14ac:dyDescent="0.3">
      <c r="A204">
        <v>1400</v>
      </c>
      <c r="B204" t="s">
        <v>48</v>
      </c>
      <c r="C204" t="s">
        <v>200</v>
      </c>
      <c r="D204" t="s">
        <v>18</v>
      </c>
      <c r="E204" s="1">
        <v>26526</v>
      </c>
      <c r="F204" s="1">
        <v>43657</v>
      </c>
      <c r="G204">
        <v>10</v>
      </c>
      <c r="H204" t="s">
        <v>108</v>
      </c>
      <c r="I204" t="s">
        <v>39</v>
      </c>
      <c r="J204" t="s">
        <v>21</v>
      </c>
      <c r="K204" t="s">
        <v>22</v>
      </c>
      <c r="L204" s="15">
        <v>10900</v>
      </c>
      <c r="M204" t="s">
        <v>32</v>
      </c>
      <c r="P204" t="s">
        <v>359</v>
      </c>
      <c r="Q204" t="str">
        <f>_xlfn.XLOOKUP(angajati__2[[#This Row],[id_departament]],departamente!A:A,departamente!B:B)</f>
        <v>IT</v>
      </c>
      <c r="R204">
        <f t="shared" si="9"/>
        <v>53</v>
      </c>
      <c r="S204">
        <f t="shared" si="10"/>
        <v>6.5</v>
      </c>
      <c r="T204" t="str" cm="1">
        <f t="array" ref="T204">_xlfn.IFS(
    S204&lt;1, "&lt; 1 an",
    S204&lt;3, "1–3 ani",
    S204&lt;5, "3–5 ani",
    S204&gt;=5, "&gt; 5 ani"
)</f>
        <v>&gt; 5 ani</v>
      </c>
      <c r="U204">
        <f t="shared" si="11"/>
        <v>0</v>
      </c>
    </row>
    <row r="205" spans="1:21" x14ac:dyDescent="0.3">
      <c r="A205">
        <v>1393</v>
      </c>
      <c r="B205" t="s">
        <v>157</v>
      </c>
      <c r="C205" t="s">
        <v>36</v>
      </c>
      <c r="D205" t="s">
        <v>37</v>
      </c>
      <c r="E205" s="1">
        <v>31053</v>
      </c>
      <c r="F205" s="1">
        <v>45017</v>
      </c>
      <c r="G205">
        <v>60</v>
      </c>
      <c r="H205" t="s">
        <v>78</v>
      </c>
      <c r="I205" t="s">
        <v>45</v>
      </c>
      <c r="J205" t="s">
        <v>21</v>
      </c>
      <c r="K205" t="s">
        <v>22</v>
      </c>
      <c r="L205" s="15">
        <v>2300</v>
      </c>
      <c r="M205" t="s">
        <v>32</v>
      </c>
      <c r="P205" t="s">
        <v>360</v>
      </c>
      <c r="Q205" t="str">
        <f>_xlfn.XLOOKUP(angajati__2[[#This Row],[id_departament]],departamente!A:A,departamente!B:B)</f>
        <v>Suport Clienți</v>
      </c>
      <c r="R205">
        <f t="shared" si="9"/>
        <v>40</v>
      </c>
      <c r="S205">
        <f t="shared" si="10"/>
        <v>2.8</v>
      </c>
      <c r="T205" t="str" cm="1">
        <f t="array" ref="T205">_xlfn.IFS(
    S205&lt;1, "&lt; 1 an",
    S205&lt;3, "1–3 ani",
    S205&lt;5, "3–5 ani",
    S205&gt;=5, "&gt; 5 ani"
)</f>
        <v>1–3 ani</v>
      </c>
      <c r="U205">
        <f t="shared" si="11"/>
        <v>0</v>
      </c>
    </row>
    <row r="206" spans="1:21" x14ac:dyDescent="0.3">
      <c r="A206">
        <v>1252</v>
      </c>
      <c r="B206" t="s">
        <v>188</v>
      </c>
      <c r="C206" t="s">
        <v>144</v>
      </c>
      <c r="D206" t="s">
        <v>37</v>
      </c>
      <c r="E206" s="1">
        <v>30873</v>
      </c>
      <c r="F206" s="1">
        <v>42581</v>
      </c>
      <c r="G206">
        <v>60</v>
      </c>
      <c r="H206" t="s">
        <v>29</v>
      </c>
      <c r="I206" t="s">
        <v>30</v>
      </c>
      <c r="J206" t="s">
        <v>52</v>
      </c>
      <c r="K206" t="s">
        <v>22</v>
      </c>
      <c r="L206" s="15">
        <v>4350</v>
      </c>
      <c r="M206" t="s">
        <v>32</v>
      </c>
      <c r="P206" t="s">
        <v>361</v>
      </c>
      <c r="Q206" t="str">
        <f>_xlfn.XLOOKUP(angajati__2[[#This Row],[id_departament]],departamente!A:A,departamente!B:B)</f>
        <v>Suport Clienți</v>
      </c>
      <c r="R206">
        <f t="shared" si="9"/>
        <v>41</v>
      </c>
      <c r="S206">
        <f t="shared" si="10"/>
        <v>9.4</v>
      </c>
      <c r="T206" t="str" cm="1">
        <f t="array" ref="T206">_xlfn.IFS(
    S206&lt;1, "&lt; 1 an",
    S206&lt;3, "1–3 ani",
    S206&lt;5, "3–5 ani",
    S206&gt;=5, "&gt; 5 ani"
)</f>
        <v>&gt; 5 ani</v>
      </c>
      <c r="U206">
        <f t="shared" si="11"/>
        <v>0</v>
      </c>
    </row>
    <row r="207" spans="1:21" x14ac:dyDescent="0.3">
      <c r="A207">
        <v>1461</v>
      </c>
      <c r="B207" t="s">
        <v>26</v>
      </c>
      <c r="C207" t="s">
        <v>59</v>
      </c>
      <c r="D207" t="s">
        <v>18</v>
      </c>
      <c r="E207" s="1">
        <v>32086</v>
      </c>
      <c r="F207" s="1">
        <v>44224</v>
      </c>
      <c r="G207">
        <v>20</v>
      </c>
      <c r="H207" t="s">
        <v>68</v>
      </c>
      <c r="I207" t="s">
        <v>39</v>
      </c>
      <c r="J207" t="s">
        <v>21</v>
      </c>
      <c r="K207" t="s">
        <v>22</v>
      </c>
      <c r="L207" s="15">
        <v>6950</v>
      </c>
      <c r="M207" t="s">
        <v>32</v>
      </c>
      <c r="Q207" t="str">
        <f>_xlfn.XLOOKUP(angajati__2[[#This Row],[id_departament]],departamente!A:A,departamente!B:B)</f>
        <v>Vânzări</v>
      </c>
      <c r="R207">
        <f t="shared" si="9"/>
        <v>38</v>
      </c>
      <c r="S207">
        <f t="shared" si="10"/>
        <v>4.9000000000000004</v>
      </c>
      <c r="T207" t="str" cm="1">
        <f t="array" ref="T207">_xlfn.IFS(
    S207&lt;1, "&lt; 1 an",
    S207&lt;3, "1–3 ani",
    S207&lt;5, "3–5 ani",
    S207&gt;=5, "&gt; 5 ani"
)</f>
        <v>3–5 ani</v>
      </c>
      <c r="U207">
        <f t="shared" si="11"/>
        <v>0</v>
      </c>
    </row>
    <row r="208" spans="1:21" x14ac:dyDescent="0.3">
      <c r="A208">
        <v>1474</v>
      </c>
      <c r="B208" t="s">
        <v>115</v>
      </c>
      <c r="C208" t="s">
        <v>43</v>
      </c>
      <c r="D208" t="s">
        <v>37</v>
      </c>
      <c r="E208" s="1">
        <v>32514</v>
      </c>
      <c r="F208" s="1">
        <v>45501</v>
      </c>
      <c r="G208">
        <v>70</v>
      </c>
      <c r="H208" t="s">
        <v>116</v>
      </c>
      <c r="I208" t="s">
        <v>30</v>
      </c>
      <c r="J208" t="s">
        <v>31</v>
      </c>
      <c r="K208" t="s">
        <v>40</v>
      </c>
      <c r="L208" s="15">
        <v>5200</v>
      </c>
      <c r="M208" t="s">
        <v>32</v>
      </c>
      <c r="P208" t="s">
        <v>362</v>
      </c>
      <c r="Q208" t="str">
        <f>_xlfn.XLOOKUP(angajati__2[[#This Row],[id_departament]],departamente!A:A,departamente!B:B)</f>
        <v>Operațiuni</v>
      </c>
      <c r="R208">
        <f t="shared" si="9"/>
        <v>36</v>
      </c>
      <c r="S208">
        <f t="shared" si="10"/>
        <v>1.4</v>
      </c>
      <c r="T208" t="str" cm="1">
        <f t="array" ref="T208">_xlfn.IFS(
    S208&lt;1, "&lt; 1 an",
    S208&lt;3, "1–3 ani",
    S208&lt;5, "3–5 ani",
    S208&gt;=5, "&gt; 5 ani"
)</f>
        <v>1–3 ani</v>
      </c>
      <c r="U208">
        <f t="shared" si="11"/>
        <v>0</v>
      </c>
    </row>
    <row r="209" spans="1:21" x14ac:dyDescent="0.3">
      <c r="A209">
        <v>1069</v>
      </c>
      <c r="B209" t="s">
        <v>64</v>
      </c>
      <c r="C209" t="s">
        <v>119</v>
      </c>
      <c r="D209" t="s">
        <v>18</v>
      </c>
      <c r="E209" s="1">
        <v>35322</v>
      </c>
      <c r="F209" s="1">
        <v>45519</v>
      </c>
      <c r="G209">
        <v>10</v>
      </c>
      <c r="H209" t="s">
        <v>44</v>
      </c>
      <c r="I209" t="s">
        <v>30</v>
      </c>
      <c r="J209" t="s">
        <v>21</v>
      </c>
      <c r="K209" t="s">
        <v>22</v>
      </c>
      <c r="L209" s="15">
        <v>7750</v>
      </c>
      <c r="M209" t="s">
        <v>32</v>
      </c>
      <c r="P209" t="s">
        <v>363</v>
      </c>
      <c r="Q209" t="str">
        <f>_xlfn.XLOOKUP(angajati__2[[#This Row],[id_departament]],departamente!A:A,departamente!B:B)</f>
        <v>IT</v>
      </c>
      <c r="R209">
        <f t="shared" si="9"/>
        <v>29</v>
      </c>
      <c r="S209">
        <f t="shared" si="10"/>
        <v>1.4</v>
      </c>
      <c r="T209" t="str" cm="1">
        <f t="array" ref="T209">_xlfn.IFS(
    S209&lt;1, "&lt; 1 an",
    S209&lt;3, "1–3 ani",
    S209&lt;5, "3–5 ani",
    S209&gt;=5, "&gt; 5 ani"
)</f>
        <v>1–3 ani</v>
      </c>
      <c r="U209">
        <f t="shared" si="11"/>
        <v>0</v>
      </c>
    </row>
    <row r="210" spans="1:21" x14ac:dyDescent="0.3">
      <c r="A210">
        <v>1367</v>
      </c>
      <c r="B210" t="s">
        <v>92</v>
      </c>
      <c r="C210" t="s">
        <v>216</v>
      </c>
      <c r="D210" t="s">
        <v>18</v>
      </c>
      <c r="E210" s="1">
        <v>31656</v>
      </c>
      <c r="F210" s="1">
        <v>45107</v>
      </c>
      <c r="G210">
        <v>30</v>
      </c>
      <c r="H210" t="s">
        <v>209</v>
      </c>
      <c r="I210" t="s">
        <v>39</v>
      </c>
      <c r="J210" t="s">
        <v>21</v>
      </c>
      <c r="K210" t="s">
        <v>22</v>
      </c>
      <c r="L210" s="15">
        <v>7250</v>
      </c>
      <c r="M210" t="s">
        <v>32</v>
      </c>
      <c r="P210" t="s">
        <v>364</v>
      </c>
      <c r="Q210" t="str">
        <f>_xlfn.XLOOKUP(angajati__2[[#This Row],[id_departament]],departamente!A:A,departamente!B:B)</f>
        <v>Marketing</v>
      </c>
      <c r="R210">
        <f t="shared" si="9"/>
        <v>39</v>
      </c>
      <c r="S210">
        <f t="shared" si="10"/>
        <v>2.5</v>
      </c>
      <c r="T210" t="str" cm="1">
        <f t="array" ref="T210">_xlfn.IFS(
    S210&lt;1, "&lt; 1 an",
    S210&lt;3, "1–3 ani",
    S210&lt;5, "3–5 ani",
    S210&gt;=5, "&gt; 5 ani"
)</f>
        <v>1–3 ani</v>
      </c>
      <c r="U210">
        <f t="shared" si="11"/>
        <v>0</v>
      </c>
    </row>
    <row r="211" spans="1:21" x14ac:dyDescent="0.3">
      <c r="A211">
        <v>1078</v>
      </c>
      <c r="B211" t="s">
        <v>147</v>
      </c>
      <c r="C211" t="s">
        <v>206</v>
      </c>
      <c r="D211" t="s">
        <v>18</v>
      </c>
      <c r="E211" s="1">
        <v>31913</v>
      </c>
      <c r="F211" s="1">
        <v>43968</v>
      </c>
      <c r="G211">
        <v>40</v>
      </c>
      <c r="H211" t="s">
        <v>120</v>
      </c>
      <c r="I211" t="s">
        <v>30</v>
      </c>
      <c r="J211" t="s">
        <v>21</v>
      </c>
      <c r="K211" t="s">
        <v>22</v>
      </c>
      <c r="L211" s="15">
        <v>5500</v>
      </c>
      <c r="M211" t="s">
        <v>32</v>
      </c>
      <c r="P211" t="s">
        <v>366</v>
      </c>
      <c r="Q211" t="str">
        <f>_xlfn.XLOOKUP(angajati__2[[#This Row],[id_departament]],departamente!A:A,departamente!B:B)</f>
        <v>Resurse Umane</v>
      </c>
      <c r="R211">
        <f t="shared" si="9"/>
        <v>38</v>
      </c>
      <c r="S211">
        <f t="shared" si="10"/>
        <v>5.6</v>
      </c>
      <c r="T211" t="str" cm="1">
        <f t="array" ref="T211">_xlfn.IFS(
    S211&lt;1, "&lt; 1 an",
    S211&lt;3, "1–3 ani",
    S211&lt;5, "3–5 ani",
    S211&gt;=5, "&gt; 5 ani"
)</f>
        <v>&gt; 5 ani</v>
      </c>
      <c r="U211">
        <f t="shared" si="11"/>
        <v>0</v>
      </c>
    </row>
    <row r="212" spans="1:21" x14ac:dyDescent="0.3">
      <c r="A212">
        <v>1295</v>
      </c>
      <c r="B212" t="s">
        <v>125</v>
      </c>
      <c r="C212" t="s">
        <v>131</v>
      </c>
      <c r="D212" t="s">
        <v>18</v>
      </c>
      <c r="E212" s="1">
        <v>32729</v>
      </c>
      <c r="F212" s="1">
        <v>44489</v>
      </c>
      <c r="G212">
        <v>80</v>
      </c>
      <c r="H212" t="s">
        <v>159</v>
      </c>
      <c r="I212" t="s">
        <v>30</v>
      </c>
      <c r="J212" t="s">
        <v>21</v>
      </c>
      <c r="K212" t="s">
        <v>22</v>
      </c>
      <c r="L212" s="15">
        <v>8550</v>
      </c>
      <c r="M212" t="s">
        <v>23</v>
      </c>
      <c r="N212" s="1">
        <v>44668</v>
      </c>
      <c r="O212" t="s">
        <v>186</v>
      </c>
      <c r="P212" t="s">
        <v>367</v>
      </c>
      <c r="Q212" t="str">
        <f>_xlfn.XLOOKUP(angajati__2[[#This Row],[id_departament]],departamente!A:A,departamente!B:B)</f>
        <v>Juridic</v>
      </c>
      <c r="R212">
        <f t="shared" si="9"/>
        <v>36</v>
      </c>
      <c r="S212">
        <f t="shared" si="10"/>
        <v>0.5</v>
      </c>
      <c r="T212" t="str" cm="1">
        <f t="array" ref="T212">_xlfn.IFS(
    S212&lt;1, "&lt; 1 an",
    S212&lt;3, "1–3 ani",
    S212&lt;5, "3–5 ani",
    S212&gt;=5, "&gt; 5 ani"
)</f>
        <v>&lt; 1 an</v>
      </c>
      <c r="U212">
        <f t="shared" si="11"/>
        <v>1</v>
      </c>
    </row>
    <row r="213" spans="1:21" x14ac:dyDescent="0.3">
      <c r="A213">
        <v>1437</v>
      </c>
      <c r="B213" t="s">
        <v>70</v>
      </c>
      <c r="C213" t="s">
        <v>107</v>
      </c>
      <c r="D213" t="s">
        <v>37</v>
      </c>
      <c r="E213" s="1">
        <v>29995</v>
      </c>
      <c r="F213" s="1">
        <v>42390</v>
      </c>
      <c r="G213">
        <v>20</v>
      </c>
      <c r="H213" t="s">
        <v>60</v>
      </c>
      <c r="I213" t="s">
        <v>20</v>
      </c>
      <c r="J213" t="s">
        <v>21</v>
      </c>
      <c r="K213" t="s">
        <v>22</v>
      </c>
      <c r="L213" s="15">
        <v>9650</v>
      </c>
      <c r="M213" t="s">
        <v>32</v>
      </c>
      <c r="P213" t="s">
        <v>369</v>
      </c>
      <c r="Q213" t="str">
        <f>_xlfn.XLOOKUP(angajati__2[[#This Row],[id_departament]],departamente!A:A,departamente!B:B)</f>
        <v>Vânzări</v>
      </c>
      <c r="R213">
        <f t="shared" si="9"/>
        <v>43</v>
      </c>
      <c r="S213">
        <f t="shared" si="10"/>
        <v>9.9</v>
      </c>
      <c r="T213" t="str" cm="1">
        <f t="array" ref="T213">_xlfn.IFS(
    S213&lt;1, "&lt; 1 an",
    S213&lt;3, "1–3 ani",
    S213&lt;5, "3–5 ani",
    S213&gt;=5, "&gt; 5 ani"
)</f>
        <v>&gt; 5 ani</v>
      </c>
      <c r="U213">
        <f t="shared" si="11"/>
        <v>0</v>
      </c>
    </row>
    <row r="214" spans="1:21" x14ac:dyDescent="0.3">
      <c r="A214">
        <v>1280</v>
      </c>
      <c r="B214" t="s">
        <v>136</v>
      </c>
      <c r="C214" t="s">
        <v>224</v>
      </c>
      <c r="D214" t="s">
        <v>37</v>
      </c>
      <c r="E214" s="1">
        <v>32990</v>
      </c>
      <c r="F214" s="1">
        <v>44773</v>
      </c>
      <c r="G214">
        <v>20</v>
      </c>
      <c r="H214" t="s">
        <v>104</v>
      </c>
      <c r="I214" t="s">
        <v>39</v>
      </c>
      <c r="J214" t="s">
        <v>21</v>
      </c>
      <c r="K214" t="s">
        <v>40</v>
      </c>
      <c r="L214" s="15">
        <v>6800</v>
      </c>
      <c r="M214" t="s">
        <v>32</v>
      </c>
      <c r="P214" t="s">
        <v>371</v>
      </c>
      <c r="Q214" t="str">
        <f>_xlfn.XLOOKUP(angajati__2[[#This Row],[id_departament]],departamente!A:A,departamente!B:B)</f>
        <v>Vânzări</v>
      </c>
      <c r="R214">
        <f t="shared" si="9"/>
        <v>35</v>
      </c>
      <c r="S214">
        <f t="shared" si="10"/>
        <v>3.4</v>
      </c>
      <c r="T214" t="str" cm="1">
        <f t="array" ref="T214">_xlfn.IFS(
    S214&lt;1, "&lt; 1 an",
    S214&lt;3, "1–3 ani",
    S214&lt;5, "3–5 ani",
    S214&gt;=5, "&gt; 5 ani"
)</f>
        <v>3–5 ani</v>
      </c>
      <c r="U214">
        <f t="shared" si="11"/>
        <v>0</v>
      </c>
    </row>
    <row r="215" spans="1:21" x14ac:dyDescent="0.3">
      <c r="A215">
        <v>1059</v>
      </c>
      <c r="B215" t="s">
        <v>134</v>
      </c>
      <c r="C215" t="s">
        <v>171</v>
      </c>
      <c r="D215" t="s">
        <v>18</v>
      </c>
      <c r="E215" s="1">
        <v>33314</v>
      </c>
      <c r="F215" s="1">
        <v>42734</v>
      </c>
      <c r="G215">
        <v>80</v>
      </c>
      <c r="H215" t="s">
        <v>159</v>
      </c>
      <c r="I215" t="s">
        <v>45</v>
      </c>
      <c r="J215" t="s">
        <v>21</v>
      </c>
      <c r="K215" t="s">
        <v>22</v>
      </c>
      <c r="L215" s="15">
        <v>4950</v>
      </c>
      <c r="M215" t="s">
        <v>32</v>
      </c>
      <c r="P215" t="s">
        <v>372</v>
      </c>
      <c r="Q215" t="str">
        <f>_xlfn.XLOOKUP(angajati__2[[#This Row],[id_departament]],departamente!A:A,departamente!B:B)</f>
        <v>Juridic</v>
      </c>
      <c r="R215">
        <f t="shared" si="9"/>
        <v>34</v>
      </c>
      <c r="S215">
        <f t="shared" si="10"/>
        <v>9</v>
      </c>
      <c r="T215" t="str" cm="1">
        <f t="array" ref="T215">_xlfn.IFS(
    S215&lt;1, "&lt; 1 an",
    S215&lt;3, "1–3 ani",
    S215&lt;5, "3–5 ani",
    S215&gt;=5, "&gt; 5 ani"
)</f>
        <v>&gt; 5 ani</v>
      </c>
      <c r="U215">
        <f t="shared" si="11"/>
        <v>0</v>
      </c>
    </row>
    <row r="216" spans="1:21" x14ac:dyDescent="0.3">
      <c r="A216">
        <v>1126</v>
      </c>
      <c r="B216" t="s">
        <v>42</v>
      </c>
      <c r="C216" t="s">
        <v>119</v>
      </c>
      <c r="D216" t="s">
        <v>18</v>
      </c>
      <c r="E216" s="1">
        <v>35044</v>
      </c>
      <c r="F216" s="1">
        <v>43205</v>
      </c>
      <c r="G216">
        <v>20</v>
      </c>
      <c r="H216" t="s">
        <v>68</v>
      </c>
      <c r="I216" t="s">
        <v>39</v>
      </c>
      <c r="J216" t="s">
        <v>31</v>
      </c>
      <c r="K216" t="s">
        <v>22</v>
      </c>
      <c r="L216" s="15">
        <v>7500</v>
      </c>
      <c r="M216" t="s">
        <v>32</v>
      </c>
      <c r="P216" t="s">
        <v>373</v>
      </c>
      <c r="Q216" t="str">
        <f>_xlfn.XLOOKUP(angajati__2[[#This Row],[id_departament]],departamente!A:A,departamente!B:B)</f>
        <v>Vânzări</v>
      </c>
      <c r="R216">
        <f t="shared" si="9"/>
        <v>30</v>
      </c>
      <c r="S216">
        <f t="shared" si="10"/>
        <v>7.7</v>
      </c>
      <c r="T216" t="str" cm="1">
        <f t="array" ref="T216">_xlfn.IFS(
    S216&lt;1, "&lt; 1 an",
    S216&lt;3, "1–3 ani",
    S216&lt;5, "3–5 ani",
    S216&gt;=5, "&gt; 5 ani"
)</f>
        <v>&gt; 5 ani</v>
      </c>
      <c r="U216">
        <f t="shared" si="11"/>
        <v>0</v>
      </c>
    </row>
    <row r="217" spans="1:21" x14ac:dyDescent="0.3">
      <c r="A217">
        <v>1043</v>
      </c>
      <c r="B217" t="s">
        <v>73</v>
      </c>
      <c r="C217" t="s">
        <v>98</v>
      </c>
      <c r="D217" t="s">
        <v>37</v>
      </c>
      <c r="E217" s="1">
        <v>31295</v>
      </c>
      <c r="F217" s="1">
        <v>45103</v>
      </c>
      <c r="G217">
        <v>80</v>
      </c>
      <c r="H217" t="s">
        <v>159</v>
      </c>
      <c r="I217" t="s">
        <v>45</v>
      </c>
      <c r="J217" t="s">
        <v>21</v>
      </c>
      <c r="K217" t="s">
        <v>40</v>
      </c>
      <c r="L217" s="15">
        <v>5450</v>
      </c>
      <c r="M217" t="s">
        <v>23</v>
      </c>
      <c r="N217" s="1">
        <v>45777</v>
      </c>
      <c r="O217" t="s">
        <v>186</v>
      </c>
      <c r="P217" t="s">
        <v>374</v>
      </c>
      <c r="Q217" t="str">
        <f>_xlfn.XLOOKUP(angajati__2[[#This Row],[id_departament]],departamente!A:A,departamente!B:B)</f>
        <v>Juridic</v>
      </c>
      <c r="R217">
        <f t="shared" si="9"/>
        <v>40</v>
      </c>
      <c r="S217">
        <f t="shared" si="10"/>
        <v>1.8</v>
      </c>
      <c r="T217" t="str" cm="1">
        <f t="array" ref="T217">_xlfn.IFS(
    S217&lt;1, "&lt; 1 an",
    S217&lt;3, "1–3 ani",
    S217&lt;5, "3–5 ani",
    S217&gt;=5, "&gt; 5 ani"
)</f>
        <v>1–3 ani</v>
      </c>
      <c r="U217">
        <f t="shared" si="11"/>
        <v>1</v>
      </c>
    </row>
    <row r="218" spans="1:21" x14ac:dyDescent="0.3">
      <c r="A218">
        <v>1005</v>
      </c>
      <c r="B218" t="s">
        <v>122</v>
      </c>
      <c r="C218" t="s">
        <v>144</v>
      </c>
      <c r="D218" t="s">
        <v>37</v>
      </c>
      <c r="E218" s="1">
        <v>30482</v>
      </c>
      <c r="F218" s="1">
        <v>44866</v>
      </c>
      <c r="G218">
        <v>60</v>
      </c>
      <c r="H218" t="s">
        <v>29</v>
      </c>
      <c r="I218" t="s">
        <v>39</v>
      </c>
      <c r="J218" t="s">
        <v>52</v>
      </c>
      <c r="K218" t="s">
        <v>22</v>
      </c>
      <c r="L218" s="15">
        <v>5900</v>
      </c>
      <c r="M218" t="s">
        <v>32</v>
      </c>
      <c r="P218" t="s">
        <v>375</v>
      </c>
      <c r="Q218" t="str">
        <f>_xlfn.XLOOKUP(angajati__2[[#This Row],[id_departament]],departamente!A:A,departamente!B:B)</f>
        <v>Suport Clienți</v>
      </c>
      <c r="R218">
        <f t="shared" si="9"/>
        <v>42</v>
      </c>
      <c r="S218">
        <f t="shared" si="10"/>
        <v>3.2</v>
      </c>
      <c r="T218" t="str" cm="1">
        <f t="array" ref="T218">_xlfn.IFS(
    S218&lt;1, "&lt; 1 an",
    S218&lt;3, "1–3 ani",
    S218&lt;5, "3–5 ani",
    S218&gt;=5, "&gt; 5 ani"
)</f>
        <v>3–5 ani</v>
      </c>
      <c r="U218">
        <f t="shared" si="11"/>
        <v>0</v>
      </c>
    </row>
    <row r="219" spans="1:21" x14ac:dyDescent="0.3">
      <c r="A219">
        <v>1122</v>
      </c>
      <c r="B219" t="s">
        <v>80</v>
      </c>
      <c r="C219" t="s">
        <v>90</v>
      </c>
      <c r="D219" t="s">
        <v>18</v>
      </c>
      <c r="E219" s="1">
        <v>30115</v>
      </c>
      <c r="F219" s="1">
        <v>42531</v>
      </c>
      <c r="G219">
        <v>70</v>
      </c>
      <c r="H219" t="s">
        <v>38</v>
      </c>
      <c r="I219" t="s">
        <v>30</v>
      </c>
      <c r="J219" t="s">
        <v>21</v>
      </c>
      <c r="K219" t="s">
        <v>22</v>
      </c>
      <c r="L219" s="15">
        <v>4300</v>
      </c>
      <c r="M219" t="s">
        <v>32</v>
      </c>
      <c r="P219" t="s">
        <v>376</v>
      </c>
      <c r="Q219" t="str">
        <f>_xlfn.XLOOKUP(angajati__2[[#This Row],[id_departament]],departamente!A:A,departamente!B:B)</f>
        <v>Operațiuni</v>
      </c>
      <c r="R219">
        <f t="shared" si="9"/>
        <v>43</v>
      </c>
      <c r="S219">
        <f t="shared" si="10"/>
        <v>9.6</v>
      </c>
      <c r="T219" t="str" cm="1">
        <f t="array" ref="T219">_xlfn.IFS(
    S219&lt;1, "&lt; 1 an",
    S219&lt;3, "1–3 ani",
    S219&lt;5, "3–5 ani",
    S219&gt;=5, "&gt; 5 ani"
)</f>
        <v>&gt; 5 ani</v>
      </c>
      <c r="U219">
        <f t="shared" si="11"/>
        <v>0</v>
      </c>
    </row>
    <row r="220" spans="1:21" x14ac:dyDescent="0.3">
      <c r="A220">
        <v>1169</v>
      </c>
      <c r="B220" t="s">
        <v>54</v>
      </c>
      <c r="C220" t="s">
        <v>131</v>
      </c>
      <c r="D220" t="s">
        <v>18</v>
      </c>
      <c r="E220" s="1">
        <v>34725</v>
      </c>
      <c r="F220" s="1">
        <v>43311</v>
      </c>
      <c r="G220">
        <v>70</v>
      </c>
      <c r="H220" t="s">
        <v>116</v>
      </c>
      <c r="I220" t="s">
        <v>30</v>
      </c>
      <c r="J220" t="s">
        <v>31</v>
      </c>
      <c r="K220" t="s">
        <v>22</v>
      </c>
      <c r="L220" s="15">
        <v>5125</v>
      </c>
      <c r="M220" t="s">
        <v>32</v>
      </c>
      <c r="P220" t="s">
        <v>377</v>
      </c>
      <c r="Q220" t="str">
        <f>_xlfn.XLOOKUP(angajati__2[[#This Row],[id_departament]],departamente!A:A,departamente!B:B)</f>
        <v>Operațiuni</v>
      </c>
      <c r="R220">
        <f t="shared" si="9"/>
        <v>30</v>
      </c>
      <c r="S220">
        <f t="shared" si="10"/>
        <v>7.4</v>
      </c>
      <c r="T220" t="str" cm="1">
        <f t="array" ref="T220">_xlfn.IFS(
    S220&lt;1, "&lt; 1 an",
    S220&lt;3, "1–3 ani",
    S220&lt;5, "3–5 ani",
    S220&gt;=5, "&gt; 5 ani"
)</f>
        <v>&gt; 5 ani</v>
      </c>
      <c r="U220">
        <f t="shared" si="11"/>
        <v>0</v>
      </c>
    </row>
    <row r="221" spans="1:21" x14ac:dyDescent="0.3">
      <c r="A221">
        <v>1141</v>
      </c>
      <c r="B221" t="s">
        <v>48</v>
      </c>
      <c r="C221" t="s">
        <v>200</v>
      </c>
      <c r="D221" t="s">
        <v>18</v>
      </c>
      <c r="E221" s="1">
        <v>35412</v>
      </c>
      <c r="F221" s="1">
        <v>43186</v>
      </c>
      <c r="G221">
        <v>20</v>
      </c>
      <c r="H221" t="s">
        <v>104</v>
      </c>
      <c r="I221" t="s">
        <v>45</v>
      </c>
      <c r="J221" t="s">
        <v>21</v>
      </c>
      <c r="K221" t="s">
        <v>22</v>
      </c>
      <c r="L221" s="15">
        <v>3800</v>
      </c>
      <c r="M221" t="s">
        <v>23</v>
      </c>
      <c r="N221" s="1">
        <v>45225</v>
      </c>
      <c r="O221" t="s">
        <v>186</v>
      </c>
      <c r="P221" t="s">
        <v>378</v>
      </c>
      <c r="Q221" t="str">
        <f>_xlfn.XLOOKUP(angajati__2[[#This Row],[id_departament]],departamente!A:A,departamente!B:B)</f>
        <v>Vânzări</v>
      </c>
      <c r="R221">
        <f t="shared" si="9"/>
        <v>29</v>
      </c>
      <c r="S221">
        <f t="shared" si="10"/>
        <v>5.6</v>
      </c>
      <c r="T221" t="str" cm="1">
        <f t="array" ref="T221">_xlfn.IFS(
    S221&lt;1, "&lt; 1 an",
    S221&lt;3, "1–3 ani",
    S221&lt;5, "3–5 ani",
    S221&gt;=5, "&gt; 5 ani"
)</f>
        <v>&gt; 5 ani</v>
      </c>
      <c r="U221">
        <f t="shared" si="11"/>
        <v>1</v>
      </c>
    </row>
    <row r="222" spans="1:21" x14ac:dyDescent="0.3">
      <c r="A222">
        <v>1231</v>
      </c>
      <c r="B222" t="s">
        <v>54</v>
      </c>
      <c r="C222" t="s">
        <v>171</v>
      </c>
      <c r="D222" t="s">
        <v>18</v>
      </c>
      <c r="E222" s="1">
        <v>34936</v>
      </c>
      <c r="F222" s="1">
        <v>43238</v>
      </c>
      <c r="G222">
        <v>30</v>
      </c>
      <c r="H222" t="s">
        <v>56</v>
      </c>
      <c r="I222" t="s">
        <v>45</v>
      </c>
      <c r="J222" t="s">
        <v>21</v>
      </c>
      <c r="K222" t="s">
        <v>22</v>
      </c>
      <c r="L222" s="15">
        <v>4250</v>
      </c>
      <c r="M222" t="s">
        <v>32</v>
      </c>
      <c r="P222" t="s">
        <v>379</v>
      </c>
      <c r="Q222" t="str">
        <f>_xlfn.XLOOKUP(angajati__2[[#This Row],[id_departament]],departamente!A:A,departamente!B:B)</f>
        <v>Marketing</v>
      </c>
      <c r="R222">
        <f t="shared" si="9"/>
        <v>30</v>
      </c>
      <c r="S222">
        <f t="shared" si="10"/>
        <v>7.6</v>
      </c>
      <c r="T222" t="str" cm="1">
        <f t="array" ref="T222">_xlfn.IFS(
    S222&lt;1, "&lt; 1 an",
    S222&lt;3, "1–3 ani",
    S222&lt;5, "3–5 ani",
    S222&gt;=5, "&gt; 5 ani"
)</f>
        <v>&gt; 5 ani</v>
      </c>
      <c r="U222">
        <f t="shared" si="11"/>
        <v>0</v>
      </c>
    </row>
    <row r="223" spans="1:21" x14ac:dyDescent="0.3">
      <c r="A223">
        <v>1430</v>
      </c>
      <c r="B223" t="s">
        <v>26</v>
      </c>
      <c r="C223" t="s">
        <v>59</v>
      </c>
      <c r="D223" t="s">
        <v>18</v>
      </c>
      <c r="E223" s="1">
        <v>32536</v>
      </c>
      <c r="F223" s="1">
        <v>43642</v>
      </c>
      <c r="G223">
        <v>20</v>
      </c>
      <c r="H223" t="s">
        <v>104</v>
      </c>
      <c r="I223" t="s">
        <v>45</v>
      </c>
      <c r="J223" t="s">
        <v>21</v>
      </c>
      <c r="K223" t="s">
        <v>22</v>
      </c>
      <c r="L223" s="15">
        <v>3900</v>
      </c>
      <c r="M223" t="s">
        <v>32</v>
      </c>
      <c r="P223" t="s">
        <v>380</v>
      </c>
      <c r="Q223" t="str">
        <f>_xlfn.XLOOKUP(angajati__2[[#This Row],[id_departament]],departamente!A:A,departamente!B:B)</f>
        <v>Vânzări</v>
      </c>
      <c r="R223">
        <f t="shared" si="9"/>
        <v>36</v>
      </c>
      <c r="S223">
        <f t="shared" si="10"/>
        <v>6.5</v>
      </c>
      <c r="T223" t="str" cm="1">
        <f t="array" ref="T223">_xlfn.IFS(
    S223&lt;1, "&lt; 1 an",
    S223&lt;3, "1–3 ani",
    S223&lt;5, "3–5 ani",
    S223&gt;=5, "&gt; 5 ani"
)</f>
        <v>&gt; 5 ani</v>
      </c>
      <c r="U223">
        <f t="shared" si="11"/>
        <v>0</v>
      </c>
    </row>
    <row r="224" spans="1:21" x14ac:dyDescent="0.3">
      <c r="A224">
        <v>1321</v>
      </c>
      <c r="B224" t="s">
        <v>122</v>
      </c>
      <c r="C224" t="s">
        <v>198</v>
      </c>
      <c r="D224" t="s">
        <v>18</v>
      </c>
      <c r="E224" s="1">
        <v>34716</v>
      </c>
      <c r="F224" s="1">
        <v>42765</v>
      </c>
      <c r="G224">
        <v>70</v>
      </c>
      <c r="H224" t="s">
        <v>116</v>
      </c>
      <c r="I224" t="s">
        <v>39</v>
      </c>
      <c r="J224" t="s">
        <v>21</v>
      </c>
      <c r="K224" t="s">
        <v>22</v>
      </c>
      <c r="L224" s="15">
        <v>6500</v>
      </c>
      <c r="M224" t="s">
        <v>32</v>
      </c>
      <c r="P224" t="s">
        <v>381</v>
      </c>
      <c r="Q224" t="str">
        <f>_xlfn.XLOOKUP(angajati__2[[#This Row],[id_departament]],departamente!A:A,departamente!B:B)</f>
        <v>Operațiuni</v>
      </c>
      <c r="R224">
        <f t="shared" si="9"/>
        <v>30</v>
      </c>
      <c r="S224">
        <f t="shared" si="10"/>
        <v>8.9</v>
      </c>
      <c r="T224" t="str" cm="1">
        <f t="array" ref="T224">_xlfn.IFS(
    S224&lt;1, "&lt; 1 an",
    S224&lt;3, "1–3 ani",
    S224&lt;5, "3–5 ani",
    S224&gt;=5, "&gt; 5 ani"
)</f>
        <v>&gt; 5 ani</v>
      </c>
      <c r="U224">
        <f t="shared" si="11"/>
        <v>0</v>
      </c>
    </row>
    <row r="225" spans="1:21" x14ac:dyDescent="0.3">
      <c r="A225">
        <v>1110</v>
      </c>
      <c r="B225" t="s">
        <v>157</v>
      </c>
      <c r="C225" t="s">
        <v>184</v>
      </c>
      <c r="D225" t="s">
        <v>37</v>
      </c>
      <c r="E225" s="1">
        <v>32679</v>
      </c>
      <c r="F225" s="1">
        <v>44162</v>
      </c>
      <c r="G225">
        <v>10</v>
      </c>
      <c r="H225" t="s">
        <v>44</v>
      </c>
      <c r="I225" t="s">
        <v>30</v>
      </c>
      <c r="J225" t="s">
        <v>21</v>
      </c>
      <c r="K225" t="s">
        <v>22</v>
      </c>
      <c r="L225" s="15">
        <v>8300</v>
      </c>
      <c r="M225" t="s">
        <v>32</v>
      </c>
      <c r="P225" t="s">
        <v>383</v>
      </c>
      <c r="Q225" t="str">
        <f>_xlfn.XLOOKUP(angajati__2[[#This Row],[id_departament]],departamente!A:A,departamente!B:B)</f>
        <v>IT</v>
      </c>
      <c r="R225">
        <f t="shared" si="9"/>
        <v>36</v>
      </c>
      <c r="S225">
        <f t="shared" si="10"/>
        <v>5.0999999999999996</v>
      </c>
      <c r="T225" t="str" cm="1">
        <f t="array" ref="T225">_xlfn.IFS(
    S225&lt;1, "&lt; 1 an",
    S225&lt;3, "1–3 ani",
    S225&lt;5, "3–5 ani",
    S225&gt;=5, "&gt; 5 ani"
)</f>
        <v>&gt; 5 ani</v>
      </c>
      <c r="U225">
        <f t="shared" si="11"/>
        <v>0</v>
      </c>
    </row>
    <row r="226" spans="1:21" x14ac:dyDescent="0.3">
      <c r="A226">
        <v>1119</v>
      </c>
      <c r="B226" t="s">
        <v>122</v>
      </c>
      <c r="C226" t="s">
        <v>17</v>
      </c>
      <c r="D226" t="s">
        <v>18</v>
      </c>
      <c r="E226" s="1">
        <v>32133</v>
      </c>
      <c r="F226" s="1">
        <v>44925</v>
      </c>
      <c r="G226">
        <v>20</v>
      </c>
      <c r="H226" t="s">
        <v>104</v>
      </c>
      <c r="I226" t="s">
        <v>45</v>
      </c>
      <c r="J226" t="s">
        <v>21</v>
      </c>
      <c r="K226" t="s">
        <v>22</v>
      </c>
      <c r="L226" s="15">
        <v>3400</v>
      </c>
      <c r="M226" t="s">
        <v>32</v>
      </c>
      <c r="P226" t="s">
        <v>384</v>
      </c>
      <c r="Q226" t="str">
        <f>_xlfn.XLOOKUP(angajati__2[[#This Row],[id_departament]],departamente!A:A,departamente!B:B)</f>
        <v>Vânzări</v>
      </c>
      <c r="R226">
        <f t="shared" si="9"/>
        <v>38</v>
      </c>
      <c r="S226">
        <f t="shared" si="10"/>
        <v>3</v>
      </c>
      <c r="T226" t="str" cm="1">
        <f t="array" ref="T226">_xlfn.IFS(
    S226&lt;1, "&lt; 1 an",
    S226&lt;3, "1–3 ani",
    S226&lt;5, "3–5 ani",
    S226&gt;=5, "&gt; 5 ani"
)</f>
        <v>3–5 ani</v>
      </c>
      <c r="U226">
        <f t="shared" si="11"/>
        <v>0</v>
      </c>
    </row>
    <row r="227" spans="1:21" x14ac:dyDescent="0.3">
      <c r="A227">
        <v>1206</v>
      </c>
      <c r="B227" t="s">
        <v>125</v>
      </c>
      <c r="C227" t="s">
        <v>59</v>
      </c>
      <c r="D227" t="s">
        <v>18</v>
      </c>
      <c r="E227" s="1">
        <v>35718</v>
      </c>
      <c r="F227" s="1">
        <v>43537</v>
      </c>
      <c r="G227">
        <v>60</v>
      </c>
      <c r="H227" t="s">
        <v>29</v>
      </c>
      <c r="I227" t="s">
        <v>30</v>
      </c>
      <c r="J227" t="s">
        <v>52</v>
      </c>
      <c r="K227" t="s">
        <v>22</v>
      </c>
      <c r="L227" s="15">
        <v>4100</v>
      </c>
      <c r="M227" t="s">
        <v>23</v>
      </c>
      <c r="N227" s="1">
        <v>45101</v>
      </c>
      <c r="O227" t="s">
        <v>105</v>
      </c>
      <c r="P227" t="s">
        <v>385</v>
      </c>
      <c r="Q227" t="str">
        <f>_xlfn.XLOOKUP(angajati__2[[#This Row],[id_departament]],departamente!A:A,departamente!B:B)</f>
        <v>Suport Clienți</v>
      </c>
      <c r="R227">
        <f t="shared" si="9"/>
        <v>28</v>
      </c>
      <c r="S227">
        <f t="shared" si="10"/>
        <v>4.3</v>
      </c>
      <c r="T227" t="str" cm="1">
        <f t="array" ref="T227">_xlfn.IFS(
    S227&lt;1, "&lt; 1 an",
    S227&lt;3, "1–3 ani",
    S227&lt;5, "3–5 ani",
    S227&gt;=5, "&gt; 5 ani"
)</f>
        <v>3–5 ani</v>
      </c>
      <c r="U227">
        <f t="shared" si="11"/>
        <v>1</v>
      </c>
    </row>
    <row r="228" spans="1:21" x14ac:dyDescent="0.3">
      <c r="A228">
        <v>1303</v>
      </c>
      <c r="B228" t="s">
        <v>204</v>
      </c>
      <c r="C228" t="s">
        <v>90</v>
      </c>
      <c r="D228" t="s">
        <v>18</v>
      </c>
      <c r="E228" s="1">
        <v>32247</v>
      </c>
      <c r="F228" s="1">
        <v>42962</v>
      </c>
      <c r="G228">
        <v>50</v>
      </c>
      <c r="H228" t="s">
        <v>142</v>
      </c>
      <c r="I228" t="s">
        <v>20</v>
      </c>
      <c r="J228" t="s">
        <v>52</v>
      </c>
      <c r="K228" t="s">
        <v>22</v>
      </c>
      <c r="L228" s="15">
        <v>12850</v>
      </c>
      <c r="M228" t="s">
        <v>32</v>
      </c>
      <c r="P228" t="s">
        <v>386</v>
      </c>
      <c r="Q228" t="str">
        <f>_xlfn.XLOOKUP(angajati__2[[#This Row],[id_departament]],departamente!A:A,departamente!B:B)</f>
        <v>Financiar</v>
      </c>
      <c r="R228">
        <f t="shared" si="9"/>
        <v>37</v>
      </c>
      <c r="S228">
        <f t="shared" si="10"/>
        <v>8.4</v>
      </c>
      <c r="T228" t="str" cm="1">
        <f t="array" ref="T228">_xlfn.IFS(
    S228&lt;1, "&lt; 1 an",
    S228&lt;3, "1–3 ani",
    S228&lt;5, "3–5 ani",
    S228&gt;=5, "&gt; 5 ani"
)</f>
        <v>&gt; 5 ani</v>
      </c>
      <c r="U228">
        <f t="shared" si="11"/>
        <v>0</v>
      </c>
    </row>
    <row r="229" spans="1:21" x14ac:dyDescent="0.3">
      <c r="A229">
        <v>1307</v>
      </c>
      <c r="B229" t="s">
        <v>204</v>
      </c>
      <c r="C229" t="s">
        <v>36</v>
      </c>
      <c r="D229" t="s">
        <v>37</v>
      </c>
      <c r="E229" s="1">
        <v>30385</v>
      </c>
      <c r="F229" s="1">
        <v>45329</v>
      </c>
      <c r="G229">
        <v>10</v>
      </c>
      <c r="H229" t="s">
        <v>275</v>
      </c>
      <c r="I229" t="s">
        <v>20</v>
      </c>
      <c r="J229" t="s">
        <v>21</v>
      </c>
      <c r="K229" t="s">
        <v>22</v>
      </c>
      <c r="L229" s="15">
        <v>15300</v>
      </c>
      <c r="M229" t="s">
        <v>32</v>
      </c>
      <c r="P229" t="s">
        <v>387</v>
      </c>
      <c r="Q229" t="str">
        <f>_xlfn.XLOOKUP(angajati__2[[#This Row],[id_departament]],departamente!A:A,departamente!B:B)</f>
        <v>IT</v>
      </c>
      <c r="R229">
        <f t="shared" si="9"/>
        <v>42</v>
      </c>
      <c r="S229">
        <f t="shared" si="10"/>
        <v>1.9</v>
      </c>
      <c r="T229" t="str" cm="1">
        <f t="array" ref="T229">_xlfn.IFS(
    S229&lt;1, "&lt; 1 an",
    S229&lt;3, "1–3 ani",
    S229&lt;5, "3–5 ani",
    S229&gt;=5, "&gt; 5 ani"
)</f>
        <v>1–3 ani</v>
      </c>
      <c r="U229">
        <f t="shared" si="11"/>
        <v>0</v>
      </c>
    </row>
    <row r="230" spans="1:21" x14ac:dyDescent="0.3">
      <c r="A230">
        <v>1007</v>
      </c>
      <c r="B230" t="s">
        <v>122</v>
      </c>
      <c r="C230" t="s">
        <v>103</v>
      </c>
      <c r="D230" t="s">
        <v>37</v>
      </c>
      <c r="E230" s="1">
        <v>29353</v>
      </c>
      <c r="F230" s="1">
        <v>45896</v>
      </c>
      <c r="G230">
        <v>50</v>
      </c>
      <c r="H230" t="s">
        <v>123</v>
      </c>
      <c r="I230" t="s">
        <v>39</v>
      </c>
      <c r="J230" t="s">
        <v>52</v>
      </c>
      <c r="K230" t="s">
        <v>22</v>
      </c>
      <c r="L230" s="15">
        <v>10300</v>
      </c>
      <c r="M230" t="s">
        <v>32</v>
      </c>
      <c r="P230" t="s">
        <v>388</v>
      </c>
      <c r="Q230" t="str">
        <f>_xlfn.XLOOKUP(angajati__2[[#This Row],[id_departament]],departamente!A:A,departamente!B:B)</f>
        <v>Financiar</v>
      </c>
      <c r="R230">
        <f t="shared" si="9"/>
        <v>45</v>
      </c>
      <c r="S230">
        <f t="shared" si="10"/>
        <v>0.3</v>
      </c>
      <c r="T230" t="str" cm="1">
        <f t="array" ref="T230">_xlfn.IFS(
    S230&lt;1, "&lt; 1 an",
    S230&lt;3, "1–3 ani",
    S230&lt;5, "3–5 ani",
    S230&gt;=5, "&gt; 5 ani"
)</f>
        <v>&lt; 1 an</v>
      </c>
      <c r="U230">
        <f t="shared" si="11"/>
        <v>0</v>
      </c>
    </row>
    <row r="231" spans="1:21" x14ac:dyDescent="0.3">
      <c r="A231">
        <v>1355</v>
      </c>
      <c r="B231" t="s">
        <v>73</v>
      </c>
      <c r="C231" t="s">
        <v>103</v>
      </c>
      <c r="D231" t="s">
        <v>37</v>
      </c>
      <c r="E231" s="1">
        <v>33520</v>
      </c>
      <c r="F231" s="1">
        <v>45764</v>
      </c>
      <c r="G231">
        <v>70</v>
      </c>
      <c r="H231" t="s">
        <v>116</v>
      </c>
      <c r="I231" t="s">
        <v>45</v>
      </c>
      <c r="J231" t="s">
        <v>31</v>
      </c>
      <c r="K231" t="s">
        <v>22</v>
      </c>
      <c r="L231" s="15">
        <v>3300</v>
      </c>
      <c r="M231" t="s">
        <v>23</v>
      </c>
      <c r="N231" s="1">
        <v>45992</v>
      </c>
      <c r="O231" t="s">
        <v>687</v>
      </c>
      <c r="P231" t="s">
        <v>389</v>
      </c>
      <c r="Q231" t="str">
        <f>_xlfn.XLOOKUP(angajati__2[[#This Row],[id_departament]],departamente!A:A,departamente!B:B)</f>
        <v>Operațiuni</v>
      </c>
      <c r="R231">
        <f t="shared" si="9"/>
        <v>34</v>
      </c>
      <c r="S231">
        <f t="shared" si="10"/>
        <v>0.6</v>
      </c>
      <c r="T231" t="str" cm="1">
        <f t="array" ref="T231">_xlfn.IFS(
    S231&lt;1, "&lt; 1 an",
    S231&lt;3, "1–3 ani",
    S231&lt;5, "3–5 ani",
    S231&gt;=5, "&gt; 5 ani"
)</f>
        <v>&lt; 1 an</v>
      </c>
      <c r="U231">
        <f t="shared" si="11"/>
        <v>1</v>
      </c>
    </row>
    <row r="232" spans="1:21" x14ac:dyDescent="0.3">
      <c r="A232">
        <v>1255</v>
      </c>
      <c r="B232" t="s">
        <v>92</v>
      </c>
      <c r="C232" t="s">
        <v>206</v>
      </c>
      <c r="D232" t="s">
        <v>18</v>
      </c>
      <c r="E232" s="1">
        <v>36705</v>
      </c>
      <c r="F232" s="1">
        <v>44476</v>
      </c>
      <c r="G232">
        <v>20</v>
      </c>
      <c r="H232" t="s">
        <v>104</v>
      </c>
      <c r="I232" t="s">
        <v>45</v>
      </c>
      <c r="J232" t="s">
        <v>46</v>
      </c>
      <c r="K232" t="s">
        <v>22</v>
      </c>
      <c r="L232" s="15">
        <v>3400</v>
      </c>
      <c r="M232" t="s">
        <v>23</v>
      </c>
      <c r="N232" s="1">
        <v>45056</v>
      </c>
      <c r="O232" t="s">
        <v>24</v>
      </c>
      <c r="P232" t="s">
        <v>390</v>
      </c>
      <c r="Q232" t="str">
        <f>_xlfn.XLOOKUP(angajati__2[[#This Row],[id_departament]],departamente!A:A,departamente!B:B)</f>
        <v>Vânzări</v>
      </c>
      <c r="R232">
        <f t="shared" si="9"/>
        <v>25</v>
      </c>
      <c r="S232">
        <f t="shared" si="10"/>
        <v>1.6</v>
      </c>
      <c r="T232" t="str" cm="1">
        <f t="array" ref="T232">_xlfn.IFS(
    S232&lt;1, "&lt; 1 an",
    S232&lt;3, "1–3 ani",
    S232&lt;5, "3–5 ani",
    S232&gt;=5, "&gt; 5 ani"
)</f>
        <v>1–3 ani</v>
      </c>
      <c r="U232">
        <f t="shared" si="11"/>
        <v>1</v>
      </c>
    </row>
    <row r="233" spans="1:21" x14ac:dyDescent="0.3">
      <c r="A233">
        <v>1415</v>
      </c>
      <c r="B233" t="s">
        <v>80</v>
      </c>
      <c r="C233" t="s">
        <v>90</v>
      </c>
      <c r="D233" t="s">
        <v>18</v>
      </c>
      <c r="E233" s="1">
        <v>37050</v>
      </c>
      <c r="F233" s="1">
        <v>44574</v>
      </c>
      <c r="G233">
        <v>40</v>
      </c>
      <c r="H233" t="s">
        <v>120</v>
      </c>
      <c r="I233" t="s">
        <v>45</v>
      </c>
      <c r="J233" t="s">
        <v>21</v>
      </c>
      <c r="K233" t="s">
        <v>22</v>
      </c>
      <c r="L233" s="15">
        <v>4100</v>
      </c>
      <c r="M233" t="s">
        <v>32</v>
      </c>
      <c r="P233" t="s">
        <v>391</v>
      </c>
      <c r="Q233" t="str">
        <f>_xlfn.XLOOKUP(angajati__2[[#This Row],[id_departament]],departamente!A:A,departamente!B:B)</f>
        <v>Resurse Umane</v>
      </c>
      <c r="R233">
        <f t="shared" si="9"/>
        <v>24</v>
      </c>
      <c r="S233">
        <f t="shared" si="10"/>
        <v>4</v>
      </c>
      <c r="T233" t="str" cm="1">
        <f t="array" ref="T233">_xlfn.IFS(
    S233&lt;1, "&lt; 1 an",
    S233&lt;3, "1–3 ani",
    S233&lt;5, "3–5 ani",
    S233&gt;=5, "&gt; 5 ani"
)</f>
        <v>3–5 ani</v>
      </c>
      <c r="U233">
        <f t="shared" si="11"/>
        <v>0</v>
      </c>
    </row>
    <row r="234" spans="1:21" x14ac:dyDescent="0.3">
      <c r="A234">
        <v>1238</v>
      </c>
      <c r="B234" t="s">
        <v>147</v>
      </c>
      <c r="C234" t="s">
        <v>140</v>
      </c>
      <c r="D234" t="s">
        <v>37</v>
      </c>
      <c r="E234" s="1">
        <v>32372</v>
      </c>
      <c r="F234" s="1">
        <v>43662</v>
      </c>
      <c r="G234">
        <v>50</v>
      </c>
      <c r="H234" t="s">
        <v>123</v>
      </c>
      <c r="I234" t="s">
        <v>30</v>
      </c>
      <c r="J234" t="s">
        <v>46</v>
      </c>
      <c r="K234" t="s">
        <v>40</v>
      </c>
      <c r="L234" s="15">
        <v>7850</v>
      </c>
      <c r="M234" t="s">
        <v>23</v>
      </c>
      <c r="N234" s="1">
        <v>44223</v>
      </c>
      <c r="O234" t="s">
        <v>105</v>
      </c>
      <c r="P234" t="s">
        <v>392</v>
      </c>
      <c r="Q234" t="str">
        <f>_xlfn.XLOOKUP(angajati__2[[#This Row],[id_departament]],departamente!A:A,departamente!B:B)</f>
        <v>Financiar</v>
      </c>
      <c r="R234">
        <f t="shared" si="9"/>
        <v>37</v>
      </c>
      <c r="S234">
        <f t="shared" si="10"/>
        <v>1.5</v>
      </c>
      <c r="T234" t="str" cm="1">
        <f t="array" ref="T234">_xlfn.IFS(
    S234&lt;1, "&lt; 1 an",
    S234&lt;3, "1–3 ani",
    S234&lt;5, "3–5 ani",
    S234&gt;=5, "&gt; 5 ani"
)</f>
        <v>1–3 ani</v>
      </c>
      <c r="U234">
        <f t="shared" si="11"/>
        <v>1</v>
      </c>
    </row>
    <row r="235" spans="1:21" x14ac:dyDescent="0.3">
      <c r="A235">
        <v>1411</v>
      </c>
      <c r="B235" t="s">
        <v>48</v>
      </c>
      <c r="C235" t="s">
        <v>140</v>
      </c>
      <c r="D235" t="s">
        <v>37</v>
      </c>
      <c r="E235" s="1">
        <v>31764</v>
      </c>
      <c r="F235" s="1">
        <v>43972</v>
      </c>
      <c r="G235">
        <v>20</v>
      </c>
      <c r="H235" t="s">
        <v>104</v>
      </c>
      <c r="I235" t="s">
        <v>30</v>
      </c>
      <c r="J235" t="s">
        <v>21</v>
      </c>
      <c r="K235" t="s">
        <v>22</v>
      </c>
      <c r="L235" s="15">
        <v>6650</v>
      </c>
      <c r="M235" t="s">
        <v>32</v>
      </c>
      <c r="P235" t="s">
        <v>393</v>
      </c>
      <c r="Q235" t="str">
        <f>_xlfn.XLOOKUP(angajati__2[[#This Row],[id_departament]],departamente!A:A,departamente!B:B)</f>
        <v>Vânzări</v>
      </c>
      <c r="R235">
        <f t="shared" si="9"/>
        <v>39</v>
      </c>
      <c r="S235">
        <f t="shared" si="10"/>
        <v>5.6</v>
      </c>
      <c r="T235" t="str" cm="1">
        <f t="array" ref="T235">_xlfn.IFS(
    S235&lt;1, "&lt; 1 an",
    S235&lt;3, "1–3 ani",
    S235&lt;5, "3–5 ani",
    S235&gt;=5, "&gt; 5 ani"
)</f>
        <v>&gt; 5 ani</v>
      </c>
      <c r="U235">
        <f t="shared" si="11"/>
        <v>0</v>
      </c>
    </row>
    <row r="236" spans="1:21" x14ac:dyDescent="0.3">
      <c r="A236">
        <v>1248</v>
      </c>
      <c r="B236" t="s">
        <v>64</v>
      </c>
      <c r="C236" t="s">
        <v>171</v>
      </c>
      <c r="D236" t="s">
        <v>18</v>
      </c>
      <c r="E236" s="1">
        <v>31111</v>
      </c>
      <c r="F236" s="1">
        <v>44002</v>
      </c>
      <c r="G236">
        <v>60</v>
      </c>
      <c r="H236" t="s">
        <v>78</v>
      </c>
      <c r="I236" t="s">
        <v>30</v>
      </c>
      <c r="J236" t="s">
        <v>52</v>
      </c>
      <c r="K236" t="s">
        <v>22</v>
      </c>
      <c r="L236" s="15">
        <v>4700</v>
      </c>
      <c r="M236" t="s">
        <v>32</v>
      </c>
      <c r="P236" t="s">
        <v>394</v>
      </c>
      <c r="Q236" t="str">
        <f>_xlfn.XLOOKUP(angajati__2[[#This Row],[id_departament]],departamente!A:A,departamente!B:B)</f>
        <v>Suport Clienți</v>
      </c>
      <c r="R236">
        <f t="shared" si="9"/>
        <v>40</v>
      </c>
      <c r="S236">
        <f t="shared" si="10"/>
        <v>5.5</v>
      </c>
      <c r="T236" t="str" cm="1">
        <f t="array" ref="T236">_xlfn.IFS(
    S236&lt;1, "&lt; 1 an",
    S236&lt;3, "1–3 ani",
    S236&lt;5, "3–5 ani",
    S236&gt;=5, "&gt; 5 ani"
)</f>
        <v>&gt; 5 ani</v>
      </c>
      <c r="U236">
        <f t="shared" si="11"/>
        <v>0</v>
      </c>
    </row>
    <row r="237" spans="1:21" x14ac:dyDescent="0.3">
      <c r="A237">
        <v>1390</v>
      </c>
      <c r="B237" t="s">
        <v>122</v>
      </c>
      <c r="C237" t="s">
        <v>178</v>
      </c>
      <c r="D237" t="s">
        <v>18</v>
      </c>
      <c r="E237" s="1">
        <v>28277</v>
      </c>
      <c r="F237" s="1">
        <v>44167</v>
      </c>
      <c r="G237">
        <v>60</v>
      </c>
      <c r="H237" t="s">
        <v>19</v>
      </c>
      <c r="I237" t="s">
        <v>20</v>
      </c>
      <c r="J237" t="s">
        <v>52</v>
      </c>
      <c r="K237" t="s">
        <v>22</v>
      </c>
      <c r="L237" s="15">
        <v>8000</v>
      </c>
      <c r="M237" t="s">
        <v>32</v>
      </c>
      <c r="P237" t="s">
        <v>395</v>
      </c>
      <c r="Q237" t="str">
        <f>_xlfn.XLOOKUP(angajati__2[[#This Row],[id_departament]],departamente!A:A,departamente!B:B)</f>
        <v>Suport Clienți</v>
      </c>
      <c r="R237">
        <f t="shared" si="9"/>
        <v>48</v>
      </c>
      <c r="S237">
        <f t="shared" si="10"/>
        <v>5.0999999999999996</v>
      </c>
      <c r="T237" t="str" cm="1">
        <f t="array" ref="T237">_xlfn.IFS(
    S237&lt;1, "&lt; 1 an",
    S237&lt;3, "1–3 ani",
    S237&lt;5, "3–5 ani",
    S237&gt;=5, "&gt; 5 ani"
)</f>
        <v>&gt; 5 ani</v>
      </c>
      <c r="U237">
        <f t="shared" si="11"/>
        <v>0</v>
      </c>
    </row>
    <row r="238" spans="1:21" x14ac:dyDescent="0.3">
      <c r="A238">
        <v>1022</v>
      </c>
      <c r="B238" t="s">
        <v>396</v>
      </c>
      <c r="C238" t="s">
        <v>140</v>
      </c>
      <c r="D238" t="s">
        <v>37</v>
      </c>
      <c r="E238" s="1">
        <v>35612</v>
      </c>
      <c r="F238" s="1">
        <v>43983</v>
      </c>
      <c r="G238">
        <v>20</v>
      </c>
      <c r="H238" t="s">
        <v>104</v>
      </c>
      <c r="I238" t="s">
        <v>45</v>
      </c>
      <c r="J238" t="s">
        <v>21</v>
      </c>
      <c r="K238" t="s">
        <v>22</v>
      </c>
      <c r="L238" s="15">
        <v>3750</v>
      </c>
      <c r="M238" t="s">
        <v>23</v>
      </c>
      <c r="N238" s="1">
        <v>45687</v>
      </c>
      <c r="O238" t="s">
        <v>117</v>
      </c>
      <c r="P238" t="s">
        <v>397</v>
      </c>
      <c r="Q238" t="str">
        <f>_xlfn.XLOOKUP(angajati__2[[#This Row],[id_departament]],departamente!A:A,departamente!B:B)</f>
        <v>Vânzări</v>
      </c>
      <c r="R238">
        <f t="shared" si="9"/>
        <v>28</v>
      </c>
      <c r="S238">
        <f t="shared" si="10"/>
        <v>4.7</v>
      </c>
      <c r="T238" t="str" cm="1">
        <f t="array" ref="T238">_xlfn.IFS(
    S238&lt;1, "&lt; 1 an",
    S238&lt;3, "1–3 ani",
    S238&lt;5, "3–5 ani",
    S238&gt;=5, "&gt; 5 ani"
)</f>
        <v>3–5 ani</v>
      </c>
      <c r="U238">
        <f t="shared" si="11"/>
        <v>1</v>
      </c>
    </row>
    <row r="239" spans="1:21" x14ac:dyDescent="0.3">
      <c r="A239">
        <v>1431</v>
      </c>
      <c r="B239" t="s">
        <v>150</v>
      </c>
      <c r="C239" t="s">
        <v>178</v>
      </c>
      <c r="D239" t="s">
        <v>18</v>
      </c>
      <c r="E239" s="1">
        <v>34476</v>
      </c>
      <c r="F239" s="1">
        <v>42511</v>
      </c>
      <c r="G239">
        <v>30</v>
      </c>
      <c r="H239" t="s">
        <v>209</v>
      </c>
      <c r="I239" t="s">
        <v>39</v>
      </c>
      <c r="J239" t="s">
        <v>31</v>
      </c>
      <c r="K239" t="s">
        <v>40</v>
      </c>
      <c r="L239" s="15">
        <v>9250</v>
      </c>
      <c r="M239" t="s">
        <v>32</v>
      </c>
      <c r="P239" t="s">
        <v>398</v>
      </c>
      <c r="Q239" t="str">
        <f>_xlfn.XLOOKUP(angajati__2[[#This Row],[id_departament]],departamente!A:A,departamente!B:B)</f>
        <v>Marketing</v>
      </c>
      <c r="R239">
        <f t="shared" si="9"/>
        <v>31</v>
      </c>
      <c r="S239">
        <f t="shared" si="10"/>
        <v>9.6</v>
      </c>
      <c r="T239" t="str" cm="1">
        <f t="array" ref="T239">_xlfn.IFS(
    S239&lt;1, "&lt; 1 an",
    S239&lt;3, "1–3 ani",
    S239&lt;5, "3–5 ani",
    S239&gt;=5, "&gt; 5 ani"
)</f>
        <v>&gt; 5 ani</v>
      </c>
      <c r="U239">
        <f t="shared" si="11"/>
        <v>0</v>
      </c>
    </row>
    <row r="240" spans="1:21" x14ac:dyDescent="0.3">
      <c r="A240">
        <v>1004</v>
      </c>
      <c r="B240" t="s">
        <v>80</v>
      </c>
      <c r="C240" t="s">
        <v>163</v>
      </c>
      <c r="D240" t="s">
        <v>18</v>
      </c>
      <c r="E240" s="1">
        <v>29832</v>
      </c>
      <c r="F240" s="1">
        <v>43917</v>
      </c>
      <c r="G240">
        <v>60</v>
      </c>
      <c r="H240" t="s">
        <v>29</v>
      </c>
      <c r="I240" t="s">
        <v>39</v>
      </c>
      <c r="J240" t="s">
        <v>21</v>
      </c>
      <c r="K240" t="s">
        <v>22</v>
      </c>
      <c r="L240" s="15">
        <v>5500</v>
      </c>
      <c r="M240" t="s">
        <v>23</v>
      </c>
      <c r="N240" s="1">
        <v>44636</v>
      </c>
      <c r="O240" t="s">
        <v>105</v>
      </c>
      <c r="P240" t="s">
        <v>399</v>
      </c>
      <c r="Q240" t="str">
        <f>_xlfn.XLOOKUP(angajati__2[[#This Row],[id_departament]],departamente!A:A,departamente!B:B)</f>
        <v>Suport Clienți</v>
      </c>
      <c r="R240">
        <f t="shared" si="9"/>
        <v>44</v>
      </c>
      <c r="S240">
        <f t="shared" si="10"/>
        <v>2</v>
      </c>
      <c r="T240" t="str" cm="1">
        <f t="array" ref="T240">_xlfn.IFS(
    S240&lt;1, "&lt; 1 an",
    S240&lt;3, "1–3 ani",
    S240&lt;5, "3–5 ani",
    S240&gt;=5, "&gt; 5 ani"
)</f>
        <v>1–3 ani</v>
      </c>
      <c r="U240">
        <f t="shared" si="11"/>
        <v>1</v>
      </c>
    </row>
    <row r="241" spans="1:21" x14ac:dyDescent="0.3">
      <c r="A241">
        <v>1260</v>
      </c>
      <c r="B241" t="s">
        <v>150</v>
      </c>
      <c r="C241" t="s">
        <v>17</v>
      </c>
      <c r="D241" t="s">
        <v>18</v>
      </c>
      <c r="E241" s="1">
        <v>29428</v>
      </c>
      <c r="F241" s="1">
        <v>44995</v>
      </c>
      <c r="G241">
        <v>70</v>
      </c>
      <c r="H241" t="s">
        <v>38</v>
      </c>
      <c r="I241" t="s">
        <v>39</v>
      </c>
      <c r="J241" t="s">
        <v>31</v>
      </c>
      <c r="K241" t="s">
        <v>22</v>
      </c>
      <c r="L241" s="15">
        <v>6800</v>
      </c>
      <c r="M241" t="s">
        <v>32</v>
      </c>
      <c r="P241" t="s">
        <v>400</v>
      </c>
      <c r="Q241" t="str">
        <f>_xlfn.XLOOKUP(angajati__2[[#This Row],[id_departament]],departamente!A:A,departamente!B:B)</f>
        <v>Operațiuni</v>
      </c>
      <c r="R241">
        <f t="shared" si="9"/>
        <v>45</v>
      </c>
      <c r="S241">
        <f t="shared" si="10"/>
        <v>2.8</v>
      </c>
      <c r="T241" t="str" cm="1">
        <f t="array" ref="T241">_xlfn.IFS(
    S241&lt;1, "&lt; 1 an",
    S241&lt;3, "1–3 ani",
    S241&lt;5, "3–5 ani",
    S241&gt;=5, "&gt; 5 ani"
)</f>
        <v>1–3 ani</v>
      </c>
      <c r="U241">
        <f t="shared" si="11"/>
        <v>0</v>
      </c>
    </row>
    <row r="242" spans="1:21" x14ac:dyDescent="0.3">
      <c r="A242">
        <v>1212</v>
      </c>
      <c r="B242" t="s">
        <v>100</v>
      </c>
      <c r="C242" t="s">
        <v>200</v>
      </c>
      <c r="D242" t="s">
        <v>18</v>
      </c>
      <c r="E242" s="1">
        <v>29625</v>
      </c>
      <c r="F242" s="1">
        <v>43472</v>
      </c>
      <c r="G242">
        <v>70</v>
      </c>
      <c r="H242" t="s">
        <v>116</v>
      </c>
      <c r="I242" t="s">
        <v>30</v>
      </c>
      <c r="J242" t="s">
        <v>31</v>
      </c>
      <c r="K242" t="s">
        <v>40</v>
      </c>
      <c r="L242" s="15">
        <v>4000</v>
      </c>
      <c r="M242" t="s">
        <v>32</v>
      </c>
      <c r="P242" t="s">
        <v>401</v>
      </c>
      <c r="Q242" t="str">
        <f>_xlfn.XLOOKUP(angajati__2[[#This Row],[id_departament]],departamente!A:A,departamente!B:B)</f>
        <v>Operațiuni</v>
      </c>
      <c r="R242">
        <f t="shared" si="9"/>
        <v>44</v>
      </c>
      <c r="S242">
        <f t="shared" si="10"/>
        <v>7</v>
      </c>
      <c r="T242" t="str" cm="1">
        <f t="array" ref="T242">_xlfn.IFS(
    S242&lt;1, "&lt; 1 an",
    S242&lt;3, "1–3 ani",
    S242&lt;5, "3–5 ani",
    S242&gt;=5, "&gt; 5 ani"
)</f>
        <v>&gt; 5 ani</v>
      </c>
      <c r="U242">
        <f t="shared" si="11"/>
        <v>0</v>
      </c>
    </row>
    <row r="243" spans="1:21" x14ac:dyDescent="0.3">
      <c r="A243">
        <v>1123</v>
      </c>
      <c r="B243" t="s">
        <v>67</v>
      </c>
      <c r="C243" t="s">
        <v>126</v>
      </c>
      <c r="D243" t="s">
        <v>37</v>
      </c>
      <c r="E243" s="1">
        <v>35501</v>
      </c>
      <c r="F243" s="1">
        <v>45754</v>
      </c>
      <c r="G243">
        <v>10</v>
      </c>
      <c r="H243" t="s">
        <v>44</v>
      </c>
      <c r="I243" t="s">
        <v>45</v>
      </c>
      <c r="J243" t="s">
        <v>52</v>
      </c>
      <c r="K243" t="s">
        <v>22</v>
      </c>
      <c r="L243" s="15">
        <v>6650</v>
      </c>
      <c r="M243" t="s">
        <v>32</v>
      </c>
      <c r="P243" t="s">
        <v>402</v>
      </c>
      <c r="Q243" t="str">
        <f>_xlfn.XLOOKUP(angajati__2[[#This Row],[id_departament]],departamente!A:A,departamente!B:B)</f>
        <v>IT</v>
      </c>
      <c r="R243">
        <f t="shared" si="9"/>
        <v>28</v>
      </c>
      <c r="S243">
        <f t="shared" si="10"/>
        <v>0.7</v>
      </c>
      <c r="T243" t="str" cm="1">
        <f t="array" ref="T243">_xlfn.IFS(
    S243&lt;1, "&lt; 1 an",
    S243&lt;3, "1–3 ani",
    S243&lt;5, "3–5 ani",
    S243&gt;=5, "&gt; 5 ani"
)</f>
        <v>&lt; 1 an</v>
      </c>
      <c r="U243">
        <f t="shared" si="11"/>
        <v>0</v>
      </c>
    </row>
    <row r="244" spans="1:21" x14ac:dyDescent="0.3">
      <c r="A244">
        <v>1079</v>
      </c>
      <c r="B244" t="s">
        <v>136</v>
      </c>
      <c r="C244" t="s">
        <v>200</v>
      </c>
      <c r="D244" t="s">
        <v>18</v>
      </c>
      <c r="E244" s="1">
        <v>30327</v>
      </c>
      <c r="F244" s="1">
        <v>43105</v>
      </c>
      <c r="G244">
        <v>50</v>
      </c>
      <c r="H244" t="s">
        <v>71</v>
      </c>
      <c r="I244" t="s">
        <v>45</v>
      </c>
      <c r="J244" t="s">
        <v>52</v>
      </c>
      <c r="K244" t="s">
        <v>22</v>
      </c>
      <c r="L244" s="15">
        <v>4700</v>
      </c>
      <c r="M244" t="s">
        <v>32</v>
      </c>
      <c r="P244" t="s">
        <v>403</v>
      </c>
      <c r="Q244" t="str">
        <f>_xlfn.XLOOKUP(angajati__2[[#This Row],[id_departament]],departamente!A:A,departamente!B:B)</f>
        <v>Financiar</v>
      </c>
      <c r="R244">
        <f t="shared" si="9"/>
        <v>42</v>
      </c>
      <c r="S244">
        <f t="shared" si="10"/>
        <v>8</v>
      </c>
      <c r="T244" t="str" cm="1">
        <f t="array" ref="T244">_xlfn.IFS(
    S244&lt;1, "&lt; 1 an",
    S244&lt;3, "1–3 ani",
    S244&lt;5, "3–5 ani",
    S244&gt;=5, "&gt; 5 ani"
)</f>
        <v>&gt; 5 ani</v>
      </c>
      <c r="U244">
        <f t="shared" si="11"/>
        <v>0</v>
      </c>
    </row>
    <row r="245" spans="1:21" x14ac:dyDescent="0.3">
      <c r="A245">
        <v>1388</v>
      </c>
      <c r="B245" t="s">
        <v>89</v>
      </c>
      <c r="C245" t="s">
        <v>144</v>
      </c>
      <c r="D245" t="s">
        <v>37</v>
      </c>
      <c r="E245" s="1">
        <v>34020</v>
      </c>
      <c r="F245" s="1">
        <v>43610</v>
      </c>
      <c r="G245">
        <v>20</v>
      </c>
      <c r="H245" t="s">
        <v>104</v>
      </c>
      <c r="I245" t="s">
        <v>39</v>
      </c>
      <c r="J245" t="s">
        <v>21</v>
      </c>
      <c r="K245" t="s">
        <v>22</v>
      </c>
      <c r="L245" s="15">
        <v>8400</v>
      </c>
      <c r="M245" t="s">
        <v>23</v>
      </c>
      <c r="N245" s="1">
        <v>46020</v>
      </c>
      <c r="O245" t="s">
        <v>117</v>
      </c>
      <c r="P245" t="s">
        <v>404</v>
      </c>
      <c r="Q245" t="str">
        <f>_xlfn.XLOOKUP(angajati__2[[#This Row],[id_departament]],departamente!A:A,departamente!B:B)</f>
        <v>Vânzări</v>
      </c>
      <c r="R245">
        <f t="shared" si="9"/>
        <v>32</v>
      </c>
      <c r="S245">
        <f t="shared" si="10"/>
        <v>6.6</v>
      </c>
      <c r="T245" t="str" cm="1">
        <f t="array" ref="T245">_xlfn.IFS(
    S245&lt;1, "&lt; 1 an",
    S245&lt;3, "1–3 ani",
    S245&lt;5, "3–5 ani",
    S245&gt;=5, "&gt; 5 ani"
)</f>
        <v>&gt; 5 ani</v>
      </c>
      <c r="U245">
        <f t="shared" si="11"/>
        <v>1</v>
      </c>
    </row>
    <row r="246" spans="1:21" x14ac:dyDescent="0.3">
      <c r="A246">
        <v>1468</v>
      </c>
      <c r="B246" t="s">
        <v>136</v>
      </c>
      <c r="C246" t="s">
        <v>216</v>
      </c>
      <c r="D246" t="s">
        <v>18</v>
      </c>
      <c r="E246" s="1">
        <v>33926</v>
      </c>
      <c r="F246" s="1">
        <v>45713</v>
      </c>
      <c r="G246">
        <v>30</v>
      </c>
      <c r="H246" t="s">
        <v>209</v>
      </c>
      <c r="I246" t="s">
        <v>30</v>
      </c>
      <c r="J246" t="s">
        <v>52</v>
      </c>
      <c r="K246" t="s">
        <v>22</v>
      </c>
      <c r="L246" s="15">
        <v>6700</v>
      </c>
      <c r="M246" t="s">
        <v>32</v>
      </c>
      <c r="P246" t="s">
        <v>405</v>
      </c>
      <c r="Q246" t="str">
        <f>_xlfn.XLOOKUP(angajati__2[[#This Row],[id_departament]],departamente!A:A,departamente!B:B)</f>
        <v>Marketing</v>
      </c>
      <c r="R246">
        <f t="shared" si="9"/>
        <v>33</v>
      </c>
      <c r="S246">
        <f t="shared" si="10"/>
        <v>0.8</v>
      </c>
      <c r="T246" t="str" cm="1">
        <f t="array" ref="T246">_xlfn.IFS(
    S246&lt;1, "&lt; 1 an",
    S246&lt;3, "1–3 ani",
    S246&lt;5, "3–5 ani",
    S246&gt;=5, "&gt; 5 ani"
)</f>
        <v>&lt; 1 an</v>
      </c>
      <c r="U246">
        <f t="shared" si="11"/>
        <v>0</v>
      </c>
    </row>
    <row r="247" spans="1:21" x14ac:dyDescent="0.3">
      <c r="A247">
        <v>1219</v>
      </c>
      <c r="B247" t="s">
        <v>64</v>
      </c>
      <c r="C247" t="s">
        <v>266</v>
      </c>
      <c r="D247" t="s">
        <v>37</v>
      </c>
      <c r="E247" s="1">
        <v>33657</v>
      </c>
      <c r="F247" s="1">
        <v>45863</v>
      </c>
      <c r="G247">
        <v>70</v>
      </c>
      <c r="H247" t="s">
        <v>38</v>
      </c>
      <c r="I247" t="s">
        <v>39</v>
      </c>
      <c r="J247" t="s">
        <v>31</v>
      </c>
      <c r="K247" t="s">
        <v>22</v>
      </c>
      <c r="L247" s="15">
        <v>7300</v>
      </c>
      <c r="M247" t="s">
        <v>32</v>
      </c>
      <c r="P247" t="s">
        <v>406</v>
      </c>
      <c r="Q247" t="str">
        <f>_xlfn.XLOOKUP(angajati__2[[#This Row],[id_departament]],departamente!A:A,departamente!B:B)</f>
        <v>Operațiuni</v>
      </c>
      <c r="R247">
        <f t="shared" si="9"/>
        <v>33</v>
      </c>
      <c r="S247">
        <f t="shared" si="10"/>
        <v>0.4</v>
      </c>
      <c r="T247" t="str" cm="1">
        <f t="array" ref="T247">_xlfn.IFS(
    S247&lt;1, "&lt; 1 an",
    S247&lt;3, "1–3 ani",
    S247&lt;5, "3–5 ani",
    S247&gt;=5, "&gt; 5 ani"
)</f>
        <v>&lt; 1 an</v>
      </c>
      <c r="U247">
        <f t="shared" si="11"/>
        <v>0</v>
      </c>
    </row>
    <row r="248" spans="1:21" x14ac:dyDescent="0.3">
      <c r="A248">
        <v>1266</v>
      </c>
      <c r="B248" t="s">
        <v>94</v>
      </c>
      <c r="C248" t="s">
        <v>119</v>
      </c>
      <c r="D248" t="s">
        <v>18</v>
      </c>
      <c r="E248" s="1">
        <v>31818</v>
      </c>
      <c r="F248" s="1">
        <v>43844</v>
      </c>
      <c r="G248">
        <v>70</v>
      </c>
      <c r="H248" t="s">
        <v>116</v>
      </c>
      <c r="I248" t="s">
        <v>30</v>
      </c>
      <c r="J248" t="s">
        <v>21</v>
      </c>
      <c r="K248" t="s">
        <v>22</v>
      </c>
      <c r="L248" s="15">
        <v>5250</v>
      </c>
      <c r="M248" t="s">
        <v>32</v>
      </c>
      <c r="P248" t="s">
        <v>408</v>
      </c>
      <c r="Q248" t="str">
        <f>_xlfn.XLOOKUP(angajati__2[[#This Row],[id_departament]],departamente!A:A,departamente!B:B)</f>
        <v>Operațiuni</v>
      </c>
      <c r="R248">
        <f t="shared" si="9"/>
        <v>38</v>
      </c>
      <c r="S248">
        <f t="shared" si="10"/>
        <v>6</v>
      </c>
      <c r="T248" t="str" cm="1">
        <f t="array" ref="T248">_xlfn.IFS(
    S248&lt;1, "&lt; 1 an",
    S248&lt;3, "1–3 ani",
    S248&lt;5, "3–5 ani",
    S248&gt;=5, "&gt; 5 ani"
)</f>
        <v>&gt; 5 ani</v>
      </c>
      <c r="U248">
        <f t="shared" si="11"/>
        <v>0</v>
      </c>
    </row>
    <row r="249" spans="1:21" x14ac:dyDescent="0.3">
      <c r="A249">
        <v>1065</v>
      </c>
      <c r="B249" t="s">
        <v>73</v>
      </c>
      <c r="C249" t="s">
        <v>131</v>
      </c>
      <c r="D249" t="s">
        <v>18</v>
      </c>
      <c r="E249" s="1">
        <v>32775</v>
      </c>
      <c r="F249" s="1">
        <v>44937</v>
      </c>
      <c r="G249">
        <v>10</v>
      </c>
      <c r="H249" t="s">
        <v>108</v>
      </c>
      <c r="I249" t="s">
        <v>39</v>
      </c>
      <c r="J249" t="s">
        <v>21</v>
      </c>
      <c r="K249" t="s">
        <v>22</v>
      </c>
      <c r="L249" s="15">
        <v>13000</v>
      </c>
      <c r="M249" t="s">
        <v>32</v>
      </c>
      <c r="P249" t="s">
        <v>409</v>
      </c>
      <c r="Q249" t="str">
        <f>_xlfn.XLOOKUP(angajati__2[[#This Row],[id_departament]],departamente!A:A,departamente!B:B)</f>
        <v>IT</v>
      </c>
      <c r="R249">
        <f t="shared" si="9"/>
        <v>36</v>
      </c>
      <c r="S249">
        <f t="shared" si="10"/>
        <v>3</v>
      </c>
      <c r="T249" t="str" cm="1">
        <f t="array" ref="T249">_xlfn.IFS(
    S249&lt;1, "&lt; 1 an",
    S249&lt;3, "1–3 ani",
    S249&lt;5, "3–5 ani",
    S249&gt;=5, "&gt; 5 ani"
)</f>
        <v>3–5 ani</v>
      </c>
      <c r="U249">
        <f t="shared" si="11"/>
        <v>0</v>
      </c>
    </row>
    <row r="250" spans="1:21" x14ac:dyDescent="0.3">
      <c r="A250">
        <v>1019</v>
      </c>
      <c r="B250" t="s">
        <v>80</v>
      </c>
      <c r="C250" t="s">
        <v>171</v>
      </c>
      <c r="D250" t="s">
        <v>18</v>
      </c>
      <c r="E250" s="1">
        <v>37146</v>
      </c>
      <c r="F250" s="1">
        <v>44930</v>
      </c>
      <c r="G250">
        <v>60</v>
      </c>
      <c r="H250" t="s">
        <v>29</v>
      </c>
      <c r="I250" t="s">
        <v>45</v>
      </c>
      <c r="J250" t="s">
        <v>52</v>
      </c>
      <c r="K250" t="s">
        <v>22</v>
      </c>
      <c r="L250" s="15">
        <v>3550</v>
      </c>
      <c r="M250" t="s">
        <v>32</v>
      </c>
      <c r="P250" t="s">
        <v>410</v>
      </c>
      <c r="Q250" t="str">
        <f>_xlfn.XLOOKUP(angajati__2[[#This Row],[id_departament]],departamente!A:A,departamente!B:B)</f>
        <v>Suport Clienți</v>
      </c>
      <c r="R250">
        <f t="shared" si="9"/>
        <v>24</v>
      </c>
      <c r="S250">
        <f t="shared" si="10"/>
        <v>3</v>
      </c>
      <c r="T250" t="str" cm="1">
        <f t="array" ref="T250">_xlfn.IFS(
    S250&lt;1, "&lt; 1 an",
    S250&lt;3, "1–3 ani",
    S250&lt;5, "3–5 ani",
    S250&gt;=5, "&gt; 5 ani"
)</f>
        <v>3–5 ani</v>
      </c>
      <c r="U250">
        <f t="shared" si="11"/>
        <v>0</v>
      </c>
    </row>
    <row r="251" spans="1:21" x14ac:dyDescent="0.3">
      <c r="A251">
        <v>1343</v>
      </c>
      <c r="B251" t="s">
        <v>64</v>
      </c>
      <c r="C251" t="s">
        <v>98</v>
      </c>
      <c r="D251" t="s">
        <v>37</v>
      </c>
      <c r="E251" s="1">
        <v>35415</v>
      </c>
      <c r="F251" s="1">
        <v>45513</v>
      </c>
      <c r="G251">
        <v>70</v>
      </c>
      <c r="H251" t="s">
        <v>116</v>
      </c>
      <c r="I251" t="s">
        <v>30</v>
      </c>
      <c r="J251" t="s">
        <v>21</v>
      </c>
      <c r="K251" t="s">
        <v>22</v>
      </c>
      <c r="L251" s="15">
        <v>5150</v>
      </c>
      <c r="M251" t="s">
        <v>32</v>
      </c>
      <c r="P251" t="s">
        <v>411</v>
      </c>
      <c r="Q251" t="str">
        <f>_xlfn.XLOOKUP(angajati__2[[#This Row],[id_departament]],departamente!A:A,departamente!B:B)</f>
        <v>Operațiuni</v>
      </c>
      <c r="R251">
        <f t="shared" si="9"/>
        <v>29</v>
      </c>
      <c r="S251">
        <f t="shared" si="10"/>
        <v>1.4</v>
      </c>
      <c r="T251" t="str" cm="1">
        <f t="array" ref="T251">_xlfn.IFS(
    S251&lt;1, "&lt; 1 an",
    S251&lt;3, "1–3 ani",
    S251&lt;5, "3–5 ani",
    S251&gt;=5, "&gt; 5 ani"
)</f>
        <v>1–3 ani</v>
      </c>
      <c r="U251">
        <f t="shared" si="11"/>
        <v>0</v>
      </c>
    </row>
    <row r="252" spans="1:21" x14ac:dyDescent="0.3">
      <c r="A252">
        <v>1152</v>
      </c>
      <c r="B252" t="s">
        <v>164</v>
      </c>
      <c r="C252" t="s">
        <v>98</v>
      </c>
      <c r="D252" t="s">
        <v>37</v>
      </c>
      <c r="E252" s="1">
        <v>35981</v>
      </c>
      <c r="F252" s="1">
        <v>43505</v>
      </c>
      <c r="G252">
        <v>20</v>
      </c>
      <c r="H252" t="s">
        <v>68</v>
      </c>
      <c r="I252" t="s">
        <v>30</v>
      </c>
      <c r="J252" t="s">
        <v>21</v>
      </c>
      <c r="K252" t="s">
        <v>22</v>
      </c>
      <c r="L252" s="15">
        <v>5600</v>
      </c>
      <c r="M252" t="s">
        <v>23</v>
      </c>
      <c r="N252" s="1">
        <v>44821</v>
      </c>
      <c r="O252" t="s">
        <v>105</v>
      </c>
      <c r="P252" t="s">
        <v>413</v>
      </c>
      <c r="Q252" t="str">
        <f>_xlfn.XLOOKUP(angajati__2[[#This Row],[id_departament]],departamente!A:A,departamente!B:B)</f>
        <v>Vânzări</v>
      </c>
      <c r="R252">
        <f t="shared" si="9"/>
        <v>27</v>
      </c>
      <c r="S252">
        <f t="shared" si="10"/>
        <v>3.6</v>
      </c>
      <c r="T252" t="str" cm="1">
        <f t="array" ref="T252">_xlfn.IFS(
    S252&lt;1, "&lt; 1 an",
    S252&lt;3, "1–3 ani",
    S252&lt;5, "3–5 ani",
    S252&gt;=5, "&gt; 5 ani"
)</f>
        <v>3–5 ani</v>
      </c>
      <c r="U252">
        <f t="shared" si="11"/>
        <v>1</v>
      </c>
    </row>
    <row r="253" spans="1:21" x14ac:dyDescent="0.3">
      <c r="A253">
        <v>1281</v>
      </c>
      <c r="B253" t="s">
        <v>204</v>
      </c>
      <c r="C253" t="s">
        <v>131</v>
      </c>
      <c r="D253" t="s">
        <v>18</v>
      </c>
      <c r="E253" s="1">
        <v>31150</v>
      </c>
      <c r="F253" s="1">
        <v>42649</v>
      </c>
      <c r="G253">
        <v>70</v>
      </c>
      <c r="H253" t="s">
        <v>38</v>
      </c>
      <c r="I253" t="s">
        <v>45</v>
      </c>
      <c r="J253" t="s">
        <v>31</v>
      </c>
      <c r="K253" t="s">
        <v>22</v>
      </c>
      <c r="L253" s="15">
        <v>3300</v>
      </c>
      <c r="M253" t="s">
        <v>32</v>
      </c>
      <c r="P253" t="s">
        <v>414</v>
      </c>
      <c r="Q253" t="str">
        <f>_xlfn.XLOOKUP(angajati__2[[#This Row],[id_departament]],departamente!A:A,departamente!B:B)</f>
        <v>Operațiuni</v>
      </c>
      <c r="R253">
        <f t="shared" si="9"/>
        <v>40</v>
      </c>
      <c r="S253">
        <f t="shared" si="10"/>
        <v>9.1999999999999993</v>
      </c>
      <c r="T253" t="str" cm="1">
        <f t="array" ref="T253">_xlfn.IFS(
    S253&lt;1, "&lt; 1 an",
    S253&lt;3, "1–3 ani",
    S253&lt;5, "3–5 ani",
    S253&gt;=5, "&gt; 5 ani"
)</f>
        <v>&gt; 5 ani</v>
      </c>
      <c r="U253">
        <f t="shared" si="11"/>
        <v>0</v>
      </c>
    </row>
    <row r="254" spans="1:21" x14ac:dyDescent="0.3">
      <c r="A254">
        <v>1164</v>
      </c>
      <c r="B254" t="s">
        <v>188</v>
      </c>
      <c r="C254" t="s">
        <v>224</v>
      </c>
      <c r="D254" t="s">
        <v>37</v>
      </c>
      <c r="E254" s="1">
        <v>32096</v>
      </c>
      <c r="F254" s="1">
        <v>42390</v>
      </c>
      <c r="G254">
        <v>30</v>
      </c>
      <c r="H254" t="s">
        <v>209</v>
      </c>
      <c r="I254" t="s">
        <v>39</v>
      </c>
      <c r="J254" t="s">
        <v>46</v>
      </c>
      <c r="K254" t="s">
        <v>22</v>
      </c>
      <c r="L254" s="15">
        <v>8000</v>
      </c>
      <c r="M254" t="s">
        <v>23</v>
      </c>
      <c r="N254" s="1">
        <v>42824</v>
      </c>
      <c r="O254" t="s">
        <v>186</v>
      </c>
      <c r="P254" t="s">
        <v>415</v>
      </c>
      <c r="Q254" t="str">
        <f>_xlfn.XLOOKUP(angajati__2[[#This Row],[id_departament]],departamente!A:A,departamente!B:B)</f>
        <v>Marketing</v>
      </c>
      <c r="R254">
        <f t="shared" si="9"/>
        <v>38</v>
      </c>
      <c r="S254">
        <f t="shared" si="10"/>
        <v>1.2</v>
      </c>
      <c r="T254" t="str" cm="1">
        <f t="array" ref="T254">_xlfn.IFS(
    S254&lt;1, "&lt; 1 an",
    S254&lt;3, "1–3 ani",
    S254&lt;5, "3–5 ani",
    S254&gt;=5, "&gt; 5 ani"
)</f>
        <v>1–3 ani</v>
      </c>
      <c r="U254">
        <f t="shared" si="11"/>
        <v>1</v>
      </c>
    </row>
    <row r="255" spans="1:21" x14ac:dyDescent="0.3">
      <c r="A255">
        <v>1330</v>
      </c>
      <c r="B255" t="s">
        <v>115</v>
      </c>
      <c r="C255" t="s">
        <v>213</v>
      </c>
      <c r="D255" t="s">
        <v>18</v>
      </c>
      <c r="E255" s="1">
        <v>29550</v>
      </c>
      <c r="F255" s="1">
        <v>43365</v>
      </c>
      <c r="G255">
        <v>60</v>
      </c>
      <c r="H255" t="s">
        <v>78</v>
      </c>
      <c r="I255" t="s">
        <v>30</v>
      </c>
      <c r="J255" t="s">
        <v>21</v>
      </c>
      <c r="K255" t="s">
        <v>22</v>
      </c>
      <c r="L255" s="15">
        <v>4200</v>
      </c>
      <c r="M255" t="s">
        <v>32</v>
      </c>
      <c r="P255" t="s">
        <v>416</v>
      </c>
      <c r="Q255" t="str">
        <f>_xlfn.XLOOKUP(angajati__2[[#This Row],[id_departament]],departamente!A:A,departamente!B:B)</f>
        <v>Suport Clienți</v>
      </c>
      <c r="R255">
        <f t="shared" si="9"/>
        <v>45</v>
      </c>
      <c r="S255">
        <f t="shared" si="10"/>
        <v>7.3</v>
      </c>
      <c r="T255" t="str" cm="1">
        <f t="array" ref="T255">_xlfn.IFS(
    S255&lt;1, "&lt; 1 an",
    S255&lt;3, "1–3 ani",
    S255&lt;5, "3–5 ani",
    S255&gt;=5, "&gt; 5 ani"
)</f>
        <v>&gt; 5 ani</v>
      </c>
      <c r="U255">
        <f t="shared" si="11"/>
        <v>0</v>
      </c>
    </row>
    <row r="256" spans="1:21" x14ac:dyDescent="0.3">
      <c r="A256">
        <v>1366</v>
      </c>
      <c r="B256" t="s">
        <v>125</v>
      </c>
      <c r="C256" t="s">
        <v>171</v>
      </c>
      <c r="D256" t="s">
        <v>18</v>
      </c>
      <c r="E256" s="1">
        <v>29193</v>
      </c>
      <c r="F256" s="1">
        <v>45411</v>
      </c>
      <c r="G256">
        <v>50</v>
      </c>
      <c r="H256" t="s">
        <v>123</v>
      </c>
      <c r="I256" t="s">
        <v>30</v>
      </c>
      <c r="J256" t="s">
        <v>52</v>
      </c>
      <c r="K256" t="s">
        <v>22</v>
      </c>
      <c r="L256" s="15">
        <v>7550</v>
      </c>
      <c r="M256" t="s">
        <v>32</v>
      </c>
      <c r="Q256" t="str">
        <f>_xlfn.XLOOKUP(angajati__2[[#This Row],[id_departament]],departamente!A:A,departamente!B:B)</f>
        <v>Financiar</v>
      </c>
      <c r="R256">
        <f t="shared" si="9"/>
        <v>46</v>
      </c>
      <c r="S256">
        <f t="shared" si="10"/>
        <v>1.7</v>
      </c>
      <c r="T256" t="str" cm="1">
        <f t="array" ref="T256">_xlfn.IFS(
    S256&lt;1, "&lt; 1 an",
    S256&lt;3, "1–3 ani",
    S256&lt;5, "3–5 ani",
    S256&gt;=5, "&gt; 5 ani"
)</f>
        <v>1–3 ani</v>
      </c>
      <c r="U256">
        <f t="shared" si="11"/>
        <v>0</v>
      </c>
    </row>
    <row r="257" spans="1:21" x14ac:dyDescent="0.3">
      <c r="A257">
        <v>1320</v>
      </c>
      <c r="B257" t="s">
        <v>396</v>
      </c>
      <c r="C257" t="s">
        <v>107</v>
      </c>
      <c r="D257" t="s">
        <v>37</v>
      </c>
      <c r="E257" s="1">
        <v>30751</v>
      </c>
      <c r="F257" s="1">
        <v>42628</v>
      </c>
      <c r="G257">
        <v>10</v>
      </c>
      <c r="H257" t="s">
        <v>49</v>
      </c>
      <c r="I257" t="s">
        <v>45</v>
      </c>
      <c r="J257" t="s">
        <v>21</v>
      </c>
      <c r="K257" t="s">
        <v>40</v>
      </c>
      <c r="L257" s="15">
        <v>6100</v>
      </c>
      <c r="M257" t="s">
        <v>32</v>
      </c>
      <c r="P257" t="s">
        <v>417</v>
      </c>
      <c r="Q257" t="str">
        <f>_xlfn.XLOOKUP(angajati__2[[#This Row],[id_departament]],departamente!A:A,departamente!B:B)</f>
        <v>IT</v>
      </c>
      <c r="R257">
        <f t="shared" si="9"/>
        <v>41</v>
      </c>
      <c r="S257">
        <f t="shared" si="10"/>
        <v>9.3000000000000007</v>
      </c>
      <c r="T257" t="str" cm="1">
        <f t="array" ref="T257">_xlfn.IFS(
    S257&lt;1, "&lt; 1 an",
    S257&lt;3, "1–3 ani",
    S257&lt;5, "3–5 ani",
    S257&gt;=5, "&gt; 5 ani"
)</f>
        <v>&gt; 5 ani</v>
      </c>
      <c r="U257">
        <f t="shared" si="11"/>
        <v>0</v>
      </c>
    </row>
    <row r="258" spans="1:21" x14ac:dyDescent="0.3">
      <c r="A258">
        <v>1144</v>
      </c>
      <c r="B258" t="s">
        <v>136</v>
      </c>
      <c r="C258" t="s">
        <v>90</v>
      </c>
      <c r="D258" t="s">
        <v>18</v>
      </c>
      <c r="E258" s="1">
        <v>33029</v>
      </c>
      <c r="F258" s="1">
        <v>45136</v>
      </c>
      <c r="G258">
        <v>10</v>
      </c>
      <c r="H258" t="s">
        <v>87</v>
      </c>
      <c r="I258" t="s">
        <v>39</v>
      </c>
      <c r="J258" t="s">
        <v>21</v>
      </c>
      <c r="K258" t="s">
        <v>22</v>
      </c>
      <c r="L258" s="15">
        <v>14550</v>
      </c>
      <c r="M258" t="s">
        <v>32</v>
      </c>
      <c r="P258" t="s">
        <v>418</v>
      </c>
      <c r="Q258" t="str">
        <f>_xlfn.XLOOKUP(angajati__2[[#This Row],[id_departament]],departamente!A:A,departamente!B:B)</f>
        <v>IT</v>
      </c>
      <c r="R258">
        <f t="shared" ref="R258:R321" si="12">DATEDIF(E258,DATE(2025,12,31), "y")</f>
        <v>35</v>
      </c>
      <c r="S258">
        <f t="shared" ref="S258:S321" si="13">ROUND(YEARFRAC(F258, IF(M258="Plecat", N258, DATE(2025,12,31)), 1), 1)</f>
        <v>2.4</v>
      </c>
      <c r="T258" t="str" cm="1">
        <f t="array" ref="T258">_xlfn.IFS(
    S258&lt;1, "&lt; 1 an",
    S258&lt;3, "1–3 ani",
    S258&lt;5, "3–5 ani",
    S258&gt;=5, "&gt; 5 ani"
)</f>
        <v>1–3 ani</v>
      </c>
      <c r="U258">
        <f t="shared" ref="U258:U321" si="14">IF(M258="Plecat", 1, 0)</f>
        <v>0</v>
      </c>
    </row>
    <row r="259" spans="1:21" x14ac:dyDescent="0.3">
      <c r="A259">
        <v>1407</v>
      </c>
      <c r="B259" t="s">
        <v>80</v>
      </c>
      <c r="C259" t="s">
        <v>81</v>
      </c>
      <c r="D259" t="s">
        <v>37</v>
      </c>
      <c r="E259" s="1">
        <v>31269</v>
      </c>
      <c r="F259" s="1">
        <v>45343</v>
      </c>
      <c r="G259">
        <v>70</v>
      </c>
      <c r="H259" t="s">
        <v>116</v>
      </c>
      <c r="I259" t="s">
        <v>39</v>
      </c>
      <c r="J259" t="s">
        <v>31</v>
      </c>
      <c r="K259" t="s">
        <v>22</v>
      </c>
      <c r="L259" s="15">
        <v>9150</v>
      </c>
      <c r="M259" t="s">
        <v>23</v>
      </c>
      <c r="N259" s="1">
        <v>45807</v>
      </c>
      <c r="O259" t="s">
        <v>186</v>
      </c>
      <c r="P259" t="s">
        <v>419</v>
      </c>
      <c r="Q259" t="str">
        <f>_xlfn.XLOOKUP(angajati__2[[#This Row],[id_departament]],departamente!A:A,departamente!B:B)</f>
        <v>Operațiuni</v>
      </c>
      <c r="R259">
        <f t="shared" si="12"/>
        <v>40</v>
      </c>
      <c r="S259">
        <f t="shared" si="13"/>
        <v>1.3</v>
      </c>
      <c r="T259" t="str" cm="1">
        <f t="array" ref="T259">_xlfn.IFS(
    S259&lt;1, "&lt; 1 an",
    S259&lt;3, "1–3 ani",
    S259&lt;5, "3–5 ani",
    S259&gt;=5, "&gt; 5 ani"
)</f>
        <v>1–3 ani</v>
      </c>
      <c r="U259">
        <f t="shared" si="14"/>
        <v>1</v>
      </c>
    </row>
    <row r="260" spans="1:21" x14ac:dyDescent="0.3">
      <c r="A260">
        <v>1413</v>
      </c>
      <c r="B260" t="s">
        <v>396</v>
      </c>
      <c r="C260" t="s">
        <v>113</v>
      </c>
      <c r="D260" t="s">
        <v>37</v>
      </c>
      <c r="E260" s="1">
        <v>31348</v>
      </c>
      <c r="F260" s="1">
        <v>44810</v>
      </c>
      <c r="G260">
        <v>50</v>
      </c>
      <c r="H260" t="s">
        <v>71</v>
      </c>
      <c r="I260" t="s">
        <v>30</v>
      </c>
      <c r="J260" t="s">
        <v>52</v>
      </c>
      <c r="K260" t="s">
        <v>22</v>
      </c>
      <c r="L260" s="15">
        <v>6300</v>
      </c>
      <c r="M260" t="s">
        <v>32</v>
      </c>
      <c r="P260" t="s">
        <v>420</v>
      </c>
      <c r="Q260" t="str">
        <f>_xlfn.XLOOKUP(angajati__2[[#This Row],[id_departament]],departamente!A:A,departamente!B:B)</f>
        <v>Financiar</v>
      </c>
      <c r="R260">
        <f t="shared" si="12"/>
        <v>40</v>
      </c>
      <c r="S260">
        <f t="shared" si="13"/>
        <v>3.3</v>
      </c>
      <c r="T260" t="str" cm="1">
        <f t="array" ref="T260">_xlfn.IFS(
    S260&lt;1, "&lt; 1 an",
    S260&lt;3, "1–3 ani",
    S260&lt;5, "3–5 ani",
    S260&gt;=5, "&gt; 5 ani"
)</f>
        <v>3–5 ani</v>
      </c>
      <c r="U260">
        <f t="shared" si="14"/>
        <v>0</v>
      </c>
    </row>
    <row r="261" spans="1:21" x14ac:dyDescent="0.3">
      <c r="A261">
        <v>1200</v>
      </c>
      <c r="B261" t="s">
        <v>136</v>
      </c>
      <c r="C261" t="s">
        <v>98</v>
      </c>
      <c r="D261" t="s">
        <v>37</v>
      </c>
      <c r="E261" s="1">
        <v>27313</v>
      </c>
      <c r="F261" s="1">
        <v>43154</v>
      </c>
      <c r="G261">
        <v>50</v>
      </c>
      <c r="H261" t="s">
        <v>123</v>
      </c>
      <c r="I261" t="s">
        <v>39</v>
      </c>
      <c r="J261" t="s">
        <v>52</v>
      </c>
      <c r="K261" t="s">
        <v>22</v>
      </c>
      <c r="L261" s="15">
        <v>9150</v>
      </c>
      <c r="M261" t="s">
        <v>32</v>
      </c>
      <c r="P261" t="s">
        <v>421</v>
      </c>
      <c r="Q261" t="str">
        <f>_xlfn.XLOOKUP(angajati__2[[#This Row],[id_departament]],departamente!A:A,departamente!B:B)</f>
        <v>Financiar</v>
      </c>
      <c r="R261">
        <f t="shared" si="12"/>
        <v>51</v>
      </c>
      <c r="S261">
        <f t="shared" si="13"/>
        <v>7.9</v>
      </c>
      <c r="T261" t="str" cm="1">
        <f t="array" ref="T261">_xlfn.IFS(
    S261&lt;1, "&lt; 1 an",
    S261&lt;3, "1–3 ani",
    S261&lt;5, "3–5 ani",
    S261&gt;=5, "&gt; 5 ani"
)</f>
        <v>&gt; 5 ani</v>
      </c>
      <c r="U261">
        <f t="shared" si="14"/>
        <v>0</v>
      </c>
    </row>
    <row r="262" spans="1:21" x14ac:dyDescent="0.3">
      <c r="A262">
        <v>1042</v>
      </c>
      <c r="B262" t="s">
        <v>125</v>
      </c>
      <c r="C262" t="s">
        <v>113</v>
      </c>
      <c r="D262" t="s">
        <v>37</v>
      </c>
      <c r="E262" s="1">
        <v>35240</v>
      </c>
      <c r="F262" s="1">
        <v>45565</v>
      </c>
      <c r="G262">
        <v>20</v>
      </c>
      <c r="H262" t="s">
        <v>68</v>
      </c>
      <c r="I262" t="s">
        <v>39</v>
      </c>
      <c r="J262" t="s">
        <v>21</v>
      </c>
      <c r="K262" t="s">
        <v>40</v>
      </c>
      <c r="L262" s="15">
        <v>6800</v>
      </c>
      <c r="M262" t="s">
        <v>32</v>
      </c>
      <c r="P262" t="s">
        <v>422</v>
      </c>
      <c r="Q262" t="str">
        <f>_xlfn.XLOOKUP(angajati__2[[#This Row],[id_departament]],departamente!A:A,departamente!B:B)</f>
        <v>Vânzări</v>
      </c>
      <c r="R262">
        <f t="shared" si="12"/>
        <v>29</v>
      </c>
      <c r="S262">
        <f t="shared" si="13"/>
        <v>1.3</v>
      </c>
      <c r="T262" t="str" cm="1">
        <f t="array" ref="T262">_xlfn.IFS(
    S262&lt;1, "&lt; 1 an",
    S262&lt;3, "1–3 ani",
    S262&lt;5, "3–5 ani",
    S262&gt;=5, "&gt; 5 ani"
)</f>
        <v>1–3 ani</v>
      </c>
      <c r="U262">
        <f t="shared" si="14"/>
        <v>0</v>
      </c>
    </row>
    <row r="263" spans="1:21" x14ac:dyDescent="0.3">
      <c r="A263">
        <v>1283</v>
      </c>
      <c r="B263" t="s">
        <v>157</v>
      </c>
      <c r="C263" t="s">
        <v>128</v>
      </c>
      <c r="D263" t="s">
        <v>18</v>
      </c>
      <c r="E263" s="1">
        <v>28080</v>
      </c>
      <c r="F263" s="1">
        <v>42657</v>
      </c>
      <c r="G263">
        <v>30</v>
      </c>
      <c r="H263" t="s">
        <v>209</v>
      </c>
      <c r="I263" t="s">
        <v>39</v>
      </c>
      <c r="J263" t="s">
        <v>46</v>
      </c>
      <c r="K263" t="s">
        <v>22</v>
      </c>
      <c r="L263" s="15">
        <v>9050</v>
      </c>
      <c r="M263" t="s">
        <v>32</v>
      </c>
      <c r="P263" t="s">
        <v>423</v>
      </c>
      <c r="Q263" t="str">
        <f>_xlfn.XLOOKUP(angajati__2[[#This Row],[id_departament]],departamente!A:A,departamente!B:B)</f>
        <v>Marketing</v>
      </c>
      <c r="R263">
        <f t="shared" si="12"/>
        <v>49</v>
      </c>
      <c r="S263">
        <f t="shared" si="13"/>
        <v>9.1999999999999993</v>
      </c>
      <c r="T263" t="str" cm="1">
        <f t="array" ref="T263">_xlfn.IFS(
    S263&lt;1, "&lt; 1 an",
    S263&lt;3, "1–3 ani",
    S263&lt;5, "3–5 ani",
    S263&gt;=5, "&gt; 5 ani"
)</f>
        <v>&gt; 5 ani</v>
      </c>
      <c r="U263">
        <f t="shared" si="14"/>
        <v>0</v>
      </c>
    </row>
    <row r="264" spans="1:21" x14ac:dyDescent="0.3">
      <c r="A264">
        <v>1327</v>
      </c>
      <c r="B264" t="s">
        <v>180</v>
      </c>
      <c r="C264" t="s">
        <v>110</v>
      </c>
      <c r="D264" t="s">
        <v>37</v>
      </c>
      <c r="E264" s="1">
        <v>32381</v>
      </c>
      <c r="F264" s="1">
        <v>44500</v>
      </c>
      <c r="G264">
        <v>60</v>
      </c>
      <c r="H264" t="s">
        <v>29</v>
      </c>
      <c r="I264" t="s">
        <v>30</v>
      </c>
      <c r="J264" t="s">
        <v>52</v>
      </c>
      <c r="K264" t="s">
        <v>22</v>
      </c>
      <c r="L264" s="15">
        <v>4250</v>
      </c>
      <c r="M264" t="s">
        <v>23</v>
      </c>
      <c r="N264" s="1">
        <v>45765</v>
      </c>
      <c r="O264" t="s">
        <v>687</v>
      </c>
      <c r="P264" t="s">
        <v>425</v>
      </c>
      <c r="Q264" t="str">
        <f>_xlfn.XLOOKUP(angajati__2[[#This Row],[id_departament]],departamente!A:A,departamente!B:B)</f>
        <v>Suport Clienți</v>
      </c>
      <c r="R264">
        <f t="shared" si="12"/>
        <v>37</v>
      </c>
      <c r="S264">
        <f t="shared" si="13"/>
        <v>3.5</v>
      </c>
      <c r="T264" t="str" cm="1">
        <f t="array" ref="T264">_xlfn.IFS(
    S264&lt;1, "&lt; 1 an",
    S264&lt;3, "1–3 ani",
    S264&lt;5, "3–5 ani",
    S264&gt;=5, "&gt; 5 ani"
)</f>
        <v>3–5 ani</v>
      </c>
      <c r="U264">
        <f t="shared" si="14"/>
        <v>1</v>
      </c>
    </row>
    <row r="265" spans="1:21" x14ac:dyDescent="0.3">
      <c r="A265">
        <v>1232</v>
      </c>
      <c r="B265" t="s">
        <v>136</v>
      </c>
      <c r="C265" t="s">
        <v>155</v>
      </c>
      <c r="D265" t="s">
        <v>37</v>
      </c>
      <c r="E265" s="1">
        <v>32953</v>
      </c>
      <c r="F265" s="1">
        <v>45758</v>
      </c>
      <c r="G265">
        <v>70</v>
      </c>
      <c r="H265" t="s">
        <v>116</v>
      </c>
      <c r="I265" t="s">
        <v>30</v>
      </c>
      <c r="J265" t="s">
        <v>31</v>
      </c>
      <c r="K265" t="s">
        <v>22</v>
      </c>
      <c r="L265" s="15">
        <v>4900</v>
      </c>
      <c r="M265" t="s">
        <v>32</v>
      </c>
      <c r="P265" t="s">
        <v>426</v>
      </c>
      <c r="Q265" t="str">
        <f>_xlfn.XLOOKUP(angajati__2[[#This Row],[id_departament]],departamente!A:A,departamente!B:B)</f>
        <v>Operațiuni</v>
      </c>
      <c r="R265">
        <f t="shared" si="12"/>
        <v>35</v>
      </c>
      <c r="S265">
        <f t="shared" si="13"/>
        <v>0.7</v>
      </c>
      <c r="T265" t="str" cm="1">
        <f t="array" ref="T265">_xlfn.IFS(
    S265&lt;1, "&lt; 1 an",
    S265&lt;3, "1–3 ani",
    S265&lt;5, "3–5 ani",
    S265&gt;=5, "&gt; 5 ani"
)</f>
        <v>&lt; 1 an</v>
      </c>
      <c r="U265">
        <f t="shared" si="14"/>
        <v>0</v>
      </c>
    </row>
    <row r="266" spans="1:21" x14ac:dyDescent="0.3">
      <c r="A266">
        <v>1246</v>
      </c>
      <c r="B266" t="s">
        <v>157</v>
      </c>
      <c r="C266" t="s">
        <v>17</v>
      </c>
      <c r="D266" t="s">
        <v>18</v>
      </c>
      <c r="E266" s="1">
        <v>34827</v>
      </c>
      <c r="F266" s="1">
        <v>43707</v>
      </c>
      <c r="G266">
        <v>20</v>
      </c>
      <c r="H266" t="s">
        <v>104</v>
      </c>
      <c r="I266" t="s">
        <v>39</v>
      </c>
      <c r="J266" t="s">
        <v>52</v>
      </c>
      <c r="K266" t="s">
        <v>22</v>
      </c>
      <c r="L266" s="15">
        <v>6500</v>
      </c>
      <c r="M266" t="s">
        <v>32</v>
      </c>
      <c r="P266" t="s">
        <v>427</v>
      </c>
      <c r="Q266" t="str">
        <f>_xlfn.XLOOKUP(angajati__2[[#This Row],[id_departament]],departamente!A:A,departamente!B:B)</f>
        <v>Vânzări</v>
      </c>
      <c r="R266">
        <f t="shared" si="12"/>
        <v>30</v>
      </c>
      <c r="S266">
        <f t="shared" si="13"/>
        <v>6.3</v>
      </c>
      <c r="T266" t="str" cm="1">
        <f t="array" ref="T266">_xlfn.IFS(
    S266&lt;1, "&lt; 1 an",
    S266&lt;3, "1–3 ani",
    S266&lt;5, "3–5 ani",
    S266&gt;=5, "&gt; 5 ani"
)</f>
        <v>&gt; 5 ani</v>
      </c>
      <c r="U266">
        <f t="shared" si="14"/>
        <v>0</v>
      </c>
    </row>
    <row r="267" spans="1:21" x14ac:dyDescent="0.3">
      <c r="A267">
        <v>1371</v>
      </c>
      <c r="B267" t="s">
        <v>85</v>
      </c>
      <c r="C267" t="s">
        <v>103</v>
      </c>
      <c r="D267" t="s">
        <v>37</v>
      </c>
      <c r="E267" s="1">
        <v>31910</v>
      </c>
      <c r="F267" s="1">
        <v>45472</v>
      </c>
      <c r="G267">
        <v>20</v>
      </c>
      <c r="H267" t="s">
        <v>68</v>
      </c>
      <c r="I267" t="s">
        <v>45</v>
      </c>
      <c r="J267" t="s">
        <v>21</v>
      </c>
      <c r="K267" t="s">
        <v>22</v>
      </c>
      <c r="L267" s="15">
        <v>3950</v>
      </c>
      <c r="M267" t="s">
        <v>32</v>
      </c>
      <c r="P267" t="s">
        <v>428</v>
      </c>
      <c r="Q267" t="str">
        <f>_xlfn.XLOOKUP(angajati__2[[#This Row],[id_departament]],departamente!A:A,departamente!B:B)</f>
        <v>Vânzări</v>
      </c>
      <c r="R267">
        <f t="shared" si="12"/>
        <v>38</v>
      </c>
      <c r="S267">
        <f t="shared" si="13"/>
        <v>1.5</v>
      </c>
      <c r="T267" t="str" cm="1">
        <f t="array" ref="T267">_xlfn.IFS(
    S267&lt;1, "&lt; 1 an",
    S267&lt;3, "1–3 ani",
    S267&lt;5, "3–5 ani",
    S267&gt;=5, "&gt; 5 ani"
)</f>
        <v>1–3 ani</v>
      </c>
      <c r="U267">
        <f t="shared" si="14"/>
        <v>0</v>
      </c>
    </row>
    <row r="268" spans="1:21" x14ac:dyDescent="0.3">
      <c r="A268">
        <v>1326</v>
      </c>
      <c r="B268" t="s">
        <v>147</v>
      </c>
      <c r="C268" t="s">
        <v>103</v>
      </c>
      <c r="D268" t="s">
        <v>37</v>
      </c>
      <c r="E268" s="1">
        <v>30860</v>
      </c>
      <c r="F268" s="1">
        <v>44310</v>
      </c>
      <c r="G268">
        <v>50</v>
      </c>
      <c r="H268" t="s">
        <v>71</v>
      </c>
      <c r="I268" t="s">
        <v>45</v>
      </c>
      <c r="J268" t="s">
        <v>52</v>
      </c>
      <c r="K268" t="s">
        <v>40</v>
      </c>
      <c r="L268" s="15">
        <v>4100</v>
      </c>
      <c r="M268" t="s">
        <v>32</v>
      </c>
      <c r="P268" t="s">
        <v>429</v>
      </c>
      <c r="Q268" t="str">
        <f>_xlfn.XLOOKUP(angajati__2[[#This Row],[id_departament]],departamente!A:A,departamente!B:B)</f>
        <v>Financiar</v>
      </c>
      <c r="R268">
        <f t="shared" si="12"/>
        <v>41</v>
      </c>
      <c r="S268">
        <f t="shared" si="13"/>
        <v>4.7</v>
      </c>
      <c r="T268" t="str" cm="1">
        <f t="array" ref="T268">_xlfn.IFS(
    S268&lt;1, "&lt; 1 an",
    S268&lt;3, "1–3 ani",
    S268&lt;5, "3–5 ani",
    S268&gt;=5, "&gt; 5 ani"
)</f>
        <v>3–5 ani</v>
      </c>
      <c r="U268">
        <f t="shared" si="14"/>
        <v>0</v>
      </c>
    </row>
    <row r="269" spans="1:21" x14ac:dyDescent="0.3">
      <c r="A269">
        <v>1443</v>
      </c>
      <c r="B269" t="s">
        <v>147</v>
      </c>
      <c r="C269" t="s">
        <v>74</v>
      </c>
      <c r="D269" t="s">
        <v>18</v>
      </c>
      <c r="E269" s="1">
        <v>35708</v>
      </c>
      <c r="F269" s="1">
        <v>44989</v>
      </c>
      <c r="G269">
        <v>10</v>
      </c>
      <c r="H269" t="s">
        <v>87</v>
      </c>
      <c r="I269" t="s">
        <v>45</v>
      </c>
      <c r="J269" t="s">
        <v>21</v>
      </c>
      <c r="K269" t="s">
        <v>22</v>
      </c>
      <c r="L269" s="15">
        <v>6250</v>
      </c>
      <c r="M269" t="s">
        <v>32</v>
      </c>
      <c r="P269" t="s">
        <v>430</v>
      </c>
      <c r="Q269" t="str">
        <f>_xlfn.XLOOKUP(angajati__2[[#This Row],[id_departament]],departamente!A:A,departamente!B:B)</f>
        <v>IT</v>
      </c>
      <c r="R269">
        <f t="shared" si="12"/>
        <v>28</v>
      </c>
      <c r="S269">
        <f t="shared" si="13"/>
        <v>2.8</v>
      </c>
      <c r="T269" t="str" cm="1">
        <f t="array" ref="T269">_xlfn.IFS(
    S269&lt;1, "&lt; 1 an",
    S269&lt;3, "1–3 ani",
    S269&lt;5, "3–5 ani",
    S269&gt;=5, "&gt; 5 ani"
)</f>
        <v>1–3 ani</v>
      </c>
      <c r="U269">
        <f t="shared" si="14"/>
        <v>0</v>
      </c>
    </row>
    <row r="270" spans="1:21" x14ac:dyDescent="0.3">
      <c r="A270">
        <v>1264</v>
      </c>
      <c r="B270" t="s">
        <v>64</v>
      </c>
      <c r="C270" t="s">
        <v>224</v>
      </c>
      <c r="D270" t="s">
        <v>37</v>
      </c>
      <c r="E270" s="1">
        <v>32990</v>
      </c>
      <c r="F270" s="1">
        <v>45808</v>
      </c>
      <c r="G270">
        <v>40</v>
      </c>
      <c r="H270" t="s">
        <v>120</v>
      </c>
      <c r="I270" t="s">
        <v>30</v>
      </c>
      <c r="J270" t="s">
        <v>21</v>
      </c>
      <c r="K270" t="s">
        <v>22</v>
      </c>
      <c r="L270" s="15">
        <v>6000</v>
      </c>
      <c r="M270" t="s">
        <v>23</v>
      </c>
      <c r="N270" s="1">
        <v>45958</v>
      </c>
      <c r="O270" t="s">
        <v>62</v>
      </c>
      <c r="P270" t="s">
        <v>431</v>
      </c>
      <c r="Q270" t="str">
        <f>_xlfn.XLOOKUP(angajati__2[[#This Row],[id_departament]],departamente!A:A,departamente!B:B)</f>
        <v>Resurse Umane</v>
      </c>
      <c r="R270">
        <f t="shared" si="12"/>
        <v>35</v>
      </c>
      <c r="S270">
        <f t="shared" si="13"/>
        <v>0.4</v>
      </c>
      <c r="T270" t="str" cm="1">
        <f t="array" ref="T270">_xlfn.IFS(
    S270&lt;1, "&lt; 1 an",
    S270&lt;3, "1–3 ani",
    S270&lt;5, "3–5 ani",
    S270&gt;=5, "&gt; 5 ani"
)</f>
        <v>&lt; 1 an</v>
      </c>
      <c r="U270">
        <f t="shared" si="14"/>
        <v>1</v>
      </c>
    </row>
    <row r="271" spans="1:21" x14ac:dyDescent="0.3">
      <c r="A271">
        <v>1030</v>
      </c>
      <c r="B271" t="s">
        <v>180</v>
      </c>
      <c r="C271" t="s">
        <v>110</v>
      </c>
      <c r="D271" t="s">
        <v>37</v>
      </c>
      <c r="E271" s="1">
        <v>30246</v>
      </c>
      <c r="F271" s="1">
        <v>44983</v>
      </c>
      <c r="G271">
        <v>60</v>
      </c>
      <c r="H271" t="s">
        <v>29</v>
      </c>
      <c r="I271" t="s">
        <v>45</v>
      </c>
      <c r="J271" t="s">
        <v>52</v>
      </c>
      <c r="K271" t="s">
        <v>22</v>
      </c>
      <c r="L271" s="15">
        <v>3000</v>
      </c>
      <c r="M271" t="s">
        <v>32</v>
      </c>
      <c r="P271" t="s">
        <v>432</v>
      </c>
      <c r="Q271" t="str">
        <f>_xlfn.XLOOKUP(angajati__2[[#This Row],[id_departament]],departamente!A:A,departamente!B:B)</f>
        <v>Suport Clienți</v>
      </c>
      <c r="R271">
        <f t="shared" si="12"/>
        <v>43</v>
      </c>
      <c r="S271">
        <f t="shared" si="13"/>
        <v>2.8</v>
      </c>
      <c r="T271" t="str" cm="1">
        <f t="array" ref="T271">_xlfn.IFS(
    S271&lt;1, "&lt; 1 an",
    S271&lt;3, "1–3 ani",
    S271&lt;5, "3–5 ani",
    S271&gt;=5, "&gt; 5 ani"
)</f>
        <v>1–3 ani</v>
      </c>
      <c r="U271">
        <f t="shared" si="14"/>
        <v>0</v>
      </c>
    </row>
    <row r="272" spans="1:21" x14ac:dyDescent="0.3">
      <c r="A272">
        <v>1239</v>
      </c>
      <c r="B272" t="s">
        <v>136</v>
      </c>
      <c r="C272" t="s">
        <v>126</v>
      </c>
      <c r="D272" t="s">
        <v>37</v>
      </c>
      <c r="E272" s="1">
        <v>32254</v>
      </c>
      <c r="F272" s="1">
        <v>45254</v>
      </c>
      <c r="G272">
        <v>20</v>
      </c>
      <c r="H272" t="s">
        <v>68</v>
      </c>
      <c r="I272" t="s">
        <v>45</v>
      </c>
      <c r="J272" t="s">
        <v>31</v>
      </c>
      <c r="K272" t="s">
        <v>22</v>
      </c>
      <c r="L272" s="15">
        <v>4200</v>
      </c>
      <c r="M272" t="s">
        <v>23</v>
      </c>
      <c r="N272" s="1">
        <v>45627</v>
      </c>
      <c r="O272" t="s">
        <v>186</v>
      </c>
      <c r="P272" t="s">
        <v>433</v>
      </c>
      <c r="Q272" t="str">
        <f>_xlfn.XLOOKUP(angajati__2[[#This Row],[id_departament]],departamente!A:A,departamente!B:B)</f>
        <v>Vânzări</v>
      </c>
      <c r="R272">
        <f t="shared" si="12"/>
        <v>37</v>
      </c>
      <c r="S272">
        <f t="shared" si="13"/>
        <v>1</v>
      </c>
      <c r="T272" t="str" cm="1">
        <f t="array" ref="T272">_xlfn.IFS(
    S272&lt;1, "&lt; 1 an",
    S272&lt;3, "1–3 ani",
    S272&lt;5, "3–5 ani",
    S272&gt;=5, "&gt; 5 ani"
)</f>
        <v>1–3 ani</v>
      </c>
      <c r="U272">
        <f t="shared" si="14"/>
        <v>1</v>
      </c>
    </row>
    <row r="273" spans="1:21" x14ac:dyDescent="0.3">
      <c r="A273">
        <v>1251</v>
      </c>
      <c r="B273" t="s">
        <v>35</v>
      </c>
      <c r="C273" t="s">
        <v>140</v>
      </c>
      <c r="D273" t="s">
        <v>37</v>
      </c>
      <c r="E273" s="1">
        <v>32115</v>
      </c>
      <c r="F273" s="1">
        <v>45612</v>
      </c>
      <c r="G273">
        <v>70</v>
      </c>
      <c r="H273" t="s">
        <v>38</v>
      </c>
      <c r="I273" t="s">
        <v>39</v>
      </c>
      <c r="J273" t="s">
        <v>31</v>
      </c>
      <c r="K273" t="s">
        <v>40</v>
      </c>
      <c r="L273" s="15">
        <v>7850</v>
      </c>
      <c r="M273" t="s">
        <v>32</v>
      </c>
      <c r="P273" t="s">
        <v>434</v>
      </c>
      <c r="Q273" t="str">
        <f>_xlfn.XLOOKUP(angajati__2[[#This Row],[id_departament]],departamente!A:A,departamente!B:B)</f>
        <v>Operațiuni</v>
      </c>
      <c r="R273">
        <f t="shared" si="12"/>
        <v>38</v>
      </c>
      <c r="S273">
        <f t="shared" si="13"/>
        <v>1.1000000000000001</v>
      </c>
      <c r="T273" t="str" cm="1">
        <f t="array" ref="T273">_xlfn.IFS(
    S273&lt;1, "&lt; 1 an",
    S273&lt;3, "1–3 ani",
    S273&lt;5, "3–5 ani",
    S273&gt;=5, "&gt; 5 ani"
)</f>
        <v>1–3 ani</v>
      </c>
      <c r="U273">
        <f t="shared" si="14"/>
        <v>0</v>
      </c>
    </row>
    <row r="274" spans="1:21" x14ac:dyDescent="0.3">
      <c r="A274">
        <v>1163</v>
      </c>
      <c r="B274" t="s">
        <v>73</v>
      </c>
      <c r="C274" t="s">
        <v>131</v>
      </c>
      <c r="D274" t="s">
        <v>18</v>
      </c>
      <c r="E274" s="1">
        <v>34436</v>
      </c>
      <c r="F274" s="1">
        <v>43836</v>
      </c>
      <c r="G274">
        <v>30</v>
      </c>
      <c r="H274" t="s">
        <v>209</v>
      </c>
      <c r="I274" t="s">
        <v>30</v>
      </c>
      <c r="J274" t="s">
        <v>46</v>
      </c>
      <c r="K274" t="s">
        <v>22</v>
      </c>
      <c r="L274" s="15">
        <v>6800</v>
      </c>
      <c r="M274" t="s">
        <v>32</v>
      </c>
      <c r="P274" t="s">
        <v>435</v>
      </c>
      <c r="Q274" t="str">
        <f>_xlfn.XLOOKUP(angajati__2[[#This Row],[id_departament]],departamente!A:A,departamente!B:B)</f>
        <v>Marketing</v>
      </c>
      <c r="R274">
        <f t="shared" si="12"/>
        <v>31</v>
      </c>
      <c r="S274">
        <f t="shared" si="13"/>
        <v>6</v>
      </c>
      <c r="T274" t="str" cm="1">
        <f t="array" ref="T274">_xlfn.IFS(
    S274&lt;1, "&lt; 1 an",
    S274&lt;3, "1–3 ani",
    S274&lt;5, "3–5 ani",
    S274&gt;=5, "&gt; 5 ani"
)</f>
        <v>&gt; 5 ani</v>
      </c>
      <c r="U274">
        <f t="shared" si="14"/>
        <v>0</v>
      </c>
    </row>
    <row r="275" spans="1:21" x14ac:dyDescent="0.3">
      <c r="A275">
        <v>1150</v>
      </c>
      <c r="B275" t="s">
        <v>112</v>
      </c>
      <c r="C275" t="s">
        <v>330</v>
      </c>
      <c r="D275" t="s">
        <v>37</v>
      </c>
      <c r="E275" s="1">
        <v>32500</v>
      </c>
      <c r="F275" s="1">
        <v>45046</v>
      </c>
      <c r="G275">
        <v>40</v>
      </c>
      <c r="H275" t="s">
        <v>120</v>
      </c>
      <c r="I275" t="s">
        <v>39</v>
      </c>
      <c r="J275" t="s">
        <v>21</v>
      </c>
      <c r="K275" t="s">
        <v>22</v>
      </c>
      <c r="L275" s="15">
        <v>8650</v>
      </c>
      <c r="M275" t="s">
        <v>32</v>
      </c>
      <c r="P275" t="s">
        <v>436</v>
      </c>
      <c r="Q275" t="str">
        <f>_xlfn.XLOOKUP(angajati__2[[#This Row],[id_departament]],departamente!A:A,departamente!B:B)</f>
        <v>Resurse Umane</v>
      </c>
      <c r="R275">
        <f t="shared" si="12"/>
        <v>37</v>
      </c>
      <c r="S275">
        <f t="shared" si="13"/>
        <v>2.7</v>
      </c>
      <c r="T275" t="str" cm="1">
        <f t="array" ref="T275">_xlfn.IFS(
    S275&lt;1, "&lt; 1 an",
    S275&lt;3, "1–3 ani",
    S275&lt;5, "3–5 ani",
    S275&gt;=5, "&gt; 5 ani"
)</f>
        <v>1–3 ani</v>
      </c>
      <c r="U275">
        <f t="shared" si="14"/>
        <v>0</v>
      </c>
    </row>
    <row r="276" spans="1:21" x14ac:dyDescent="0.3">
      <c r="A276">
        <v>1372</v>
      </c>
      <c r="B276" t="s">
        <v>48</v>
      </c>
      <c r="C276" t="s">
        <v>200</v>
      </c>
      <c r="D276" t="s">
        <v>18</v>
      </c>
      <c r="E276" s="1">
        <v>29601</v>
      </c>
      <c r="F276" s="1">
        <v>44288</v>
      </c>
      <c r="G276">
        <v>80</v>
      </c>
      <c r="H276" t="s">
        <v>159</v>
      </c>
      <c r="I276" t="s">
        <v>30</v>
      </c>
      <c r="J276" t="s">
        <v>31</v>
      </c>
      <c r="K276" t="s">
        <v>22</v>
      </c>
      <c r="L276" s="15">
        <v>8100</v>
      </c>
      <c r="M276" t="s">
        <v>23</v>
      </c>
      <c r="N276" s="1">
        <v>45041</v>
      </c>
      <c r="O276" t="s">
        <v>152</v>
      </c>
      <c r="P276" t="s">
        <v>437</v>
      </c>
      <c r="Q276" t="str">
        <f>_xlfn.XLOOKUP(angajati__2[[#This Row],[id_departament]],departamente!A:A,departamente!B:B)</f>
        <v>Juridic</v>
      </c>
      <c r="R276">
        <f t="shared" si="12"/>
        <v>44</v>
      </c>
      <c r="S276">
        <f t="shared" si="13"/>
        <v>2.1</v>
      </c>
      <c r="T276" t="str" cm="1">
        <f t="array" ref="T276">_xlfn.IFS(
    S276&lt;1, "&lt; 1 an",
    S276&lt;3, "1–3 ani",
    S276&lt;5, "3–5 ani",
    S276&gt;=5, "&gt; 5 ani"
)</f>
        <v>1–3 ani</v>
      </c>
      <c r="U276">
        <f t="shared" si="14"/>
        <v>1</v>
      </c>
    </row>
    <row r="277" spans="1:21" x14ac:dyDescent="0.3">
      <c r="A277">
        <v>1368</v>
      </c>
      <c r="B277" t="s">
        <v>70</v>
      </c>
      <c r="C277" t="s">
        <v>216</v>
      </c>
      <c r="D277" t="s">
        <v>18</v>
      </c>
      <c r="E277" s="1">
        <v>32319</v>
      </c>
      <c r="F277" s="1">
        <v>42442</v>
      </c>
      <c r="G277">
        <v>40</v>
      </c>
      <c r="H277" t="s">
        <v>120</v>
      </c>
      <c r="I277" t="s">
        <v>45</v>
      </c>
      <c r="J277" t="s">
        <v>21</v>
      </c>
      <c r="K277" t="s">
        <v>22</v>
      </c>
      <c r="L277" s="15">
        <v>4000</v>
      </c>
      <c r="M277" t="s">
        <v>32</v>
      </c>
      <c r="P277" t="s">
        <v>438</v>
      </c>
      <c r="Q277" t="str">
        <f>_xlfn.XLOOKUP(angajati__2[[#This Row],[id_departament]],departamente!A:A,departamente!B:B)</f>
        <v>Resurse Umane</v>
      </c>
      <c r="R277">
        <f t="shared" si="12"/>
        <v>37</v>
      </c>
      <c r="S277">
        <f t="shared" si="13"/>
        <v>9.8000000000000007</v>
      </c>
      <c r="T277" t="str" cm="1">
        <f t="array" ref="T277">_xlfn.IFS(
    S277&lt;1, "&lt; 1 an",
    S277&lt;3, "1–3 ani",
    S277&lt;5, "3–5 ani",
    S277&gt;=5, "&gt; 5 ani"
)</f>
        <v>&gt; 5 ani</v>
      </c>
      <c r="U277">
        <f t="shared" si="14"/>
        <v>0</v>
      </c>
    </row>
    <row r="278" spans="1:21" x14ac:dyDescent="0.3">
      <c r="A278">
        <v>1095</v>
      </c>
      <c r="B278" t="s">
        <v>122</v>
      </c>
      <c r="C278" t="s">
        <v>59</v>
      </c>
      <c r="D278" t="s">
        <v>18</v>
      </c>
      <c r="E278" s="1">
        <v>34901</v>
      </c>
      <c r="F278" s="1">
        <v>43868</v>
      </c>
      <c r="G278">
        <v>70</v>
      </c>
      <c r="H278" t="s">
        <v>116</v>
      </c>
      <c r="I278" t="s">
        <v>45</v>
      </c>
      <c r="J278" t="s">
        <v>21</v>
      </c>
      <c r="K278" t="s">
        <v>22</v>
      </c>
      <c r="L278" s="15">
        <v>3550</v>
      </c>
      <c r="M278" t="s">
        <v>23</v>
      </c>
      <c r="N278" s="1">
        <v>45248</v>
      </c>
      <c r="O278" t="s">
        <v>62</v>
      </c>
      <c r="P278" t="s">
        <v>439</v>
      </c>
      <c r="Q278" t="str">
        <f>_xlfn.XLOOKUP(angajati__2[[#This Row],[id_departament]],departamente!A:A,departamente!B:B)</f>
        <v>Operațiuni</v>
      </c>
      <c r="R278">
        <f t="shared" si="12"/>
        <v>30</v>
      </c>
      <c r="S278">
        <f t="shared" si="13"/>
        <v>3.8</v>
      </c>
      <c r="T278" t="str" cm="1">
        <f t="array" ref="T278">_xlfn.IFS(
    S278&lt;1, "&lt; 1 an",
    S278&lt;3, "1–3 ani",
    S278&lt;5, "3–5 ani",
    S278&gt;=5, "&gt; 5 ani"
)</f>
        <v>3–5 ani</v>
      </c>
      <c r="U278">
        <f t="shared" si="14"/>
        <v>1</v>
      </c>
    </row>
    <row r="279" spans="1:21" x14ac:dyDescent="0.3">
      <c r="A279">
        <v>1222</v>
      </c>
      <c r="B279" t="s">
        <v>85</v>
      </c>
      <c r="C279" t="s">
        <v>206</v>
      </c>
      <c r="D279" t="s">
        <v>18</v>
      </c>
      <c r="E279" s="1">
        <v>34835</v>
      </c>
      <c r="F279" s="1">
        <v>43427</v>
      </c>
      <c r="G279">
        <v>10</v>
      </c>
      <c r="H279" t="s">
        <v>87</v>
      </c>
      <c r="I279" t="s">
        <v>30</v>
      </c>
      <c r="J279" t="s">
        <v>21</v>
      </c>
      <c r="K279" t="s">
        <v>22</v>
      </c>
      <c r="L279" s="15">
        <v>9150</v>
      </c>
      <c r="M279" t="s">
        <v>23</v>
      </c>
      <c r="N279" s="1">
        <v>44198</v>
      </c>
      <c r="O279" t="s">
        <v>186</v>
      </c>
      <c r="P279" t="s">
        <v>441</v>
      </c>
      <c r="Q279" t="str">
        <f>_xlfn.XLOOKUP(angajati__2[[#This Row],[id_departament]],departamente!A:A,departamente!B:B)</f>
        <v>IT</v>
      </c>
      <c r="R279">
        <f t="shared" si="12"/>
        <v>30</v>
      </c>
      <c r="S279">
        <f t="shared" si="13"/>
        <v>2.1</v>
      </c>
      <c r="T279" t="str" cm="1">
        <f t="array" ref="T279">_xlfn.IFS(
    S279&lt;1, "&lt; 1 an",
    S279&lt;3, "1–3 ani",
    S279&lt;5, "3–5 ani",
    S279&gt;=5, "&gt; 5 ani"
)</f>
        <v>1–3 ani</v>
      </c>
      <c r="U279">
        <f t="shared" si="14"/>
        <v>1</v>
      </c>
    </row>
    <row r="280" spans="1:21" x14ac:dyDescent="0.3">
      <c r="A280">
        <v>1086</v>
      </c>
      <c r="B280" t="s">
        <v>70</v>
      </c>
      <c r="C280" t="s">
        <v>171</v>
      </c>
      <c r="D280" t="s">
        <v>18</v>
      </c>
      <c r="E280" s="1">
        <v>32042</v>
      </c>
      <c r="F280" s="1">
        <v>43086</v>
      </c>
      <c r="G280">
        <v>70</v>
      </c>
      <c r="H280" t="s">
        <v>38</v>
      </c>
      <c r="I280" t="s">
        <v>30</v>
      </c>
      <c r="J280" t="s">
        <v>31</v>
      </c>
      <c r="K280" t="s">
        <v>22</v>
      </c>
      <c r="L280" s="15">
        <v>3950</v>
      </c>
      <c r="M280" t="s">
        <v>32</v>
      </c>
      <c r="P280" t="s">
        <v>442</v>
      </c>
      <c r="Q280" t="str">
        <f>_xlfn.XLOOKUP(angajati__2[[#This Row],[id_departament]],departamente!A:A,departamente!B:B)</f>
        <v>Operațiuni</v>
      </c>
      <c r="R280">
        <f t="shared" si="12"/>
        <v>38</v>
      </c>
      <c r="S280">
        <f t="shared" si="13"/>
        <v>8</v>
      </c>
      <c r="T280" t="str" cm="1">
        <f t="array" ref="T280">_xlfn.IFS(
    S280&lt;1, "&lt; 1 an",
    S280&lt;3, "1–3 ani",
    S280&lt;5, "3–5 ani",
    S280&gt;=5, "&gt; 5 ani"
)</f>
        <v>&gt; 5 ani</v>
      </c>
      <c r="U280">
        <f t="shared" si="14"/>
        <v>0</v>
      </c>
    </row>
    <row r="281" spans="1:21" x14ac:dyDescent="0.3">
      <c r="A281">
        <v>1188</v>
      </c>
      <c r="B281" t="s">
        <v>92</v>
      </c>
      <c r="C281" t="s">
        <v>184</v>
      </c>
      <c r="D281" t="s">
        <v>37</v>
      </c>
      <c r="E281" s="1">
        <v>37633</v>
      </c>
      <c r="F281" s="1">
        <v>45743</v>
      </c>
      <c r="G281">
        <v>70</v>
      </c>
      <c r="H281" t="s">
        <v>38</v>
      </c>
      <c r="I281" t="s">
        <v>45</v>
      </c>
      <c r="J281" t="s">
        <v>31</v>
      </c>
      <c r="K281" t="s">
        <v>22</v>
      </c>
      <c r="L281" s="15">
        <v>3950</v>
      </c>
      <c r="M281" t="s">
        <v>32</v>
      </c>
      <c r="P281" t="s">
        <v>443</v>
      </c>
      <c r="Q281" t="str">
        <f>_xlfn.XLOOKUP(angajati__2[[#This Row],[id_departament]],departamente!A:A,departamente!B:B)</f>
        <v>Operațiuni</v>
      </c>
      <c r="R281">
        <f t="shared" si="12"/>
        <v>22</v>
      </c>
      <c r="S281">
        <f t="shared" si="13"/>
        <v>0.8</v>
      </c>
      <c r="T281" t="str" cm="1">
        <f t="array" ref="T281">_xlfn.IFS(
    S281&lt;1, "&lt; 1 an",
    S281&lt;3, "1–3 ani",
    S281&lt;5, "3–5 ani",
    S281&gt;=5, "&gt; 5 ani"
)</f>
        <v>&lt; 1 an</v>
      </c>
      <c r="U281">
        <f t="shared" si="14"/>
        <v>0</v>
      </c>
    </row>
    <row r="282" spans="1:21" x14ac:dyDescent="0.3">
      <c r="A282">
        <v>1090</v>
      </c>
      <c r="B282" t="s">
        <v>92</v>
      </c>
      <c r="C282" t="s">
        <v>247</v>
      </c>
      <c r="D282" t="s">
        <v>18</v>
      </c>
      <c r="E282" s="1">
        <v>32851</v>
      </c>
      <c r="F282" s="1">
        <v>42779</v>
      </c>
      <c r="G282">
        <v>60</v>
      </c>
      <c r="H282" t="s">
        <v>29</v>
      </c>
      <c r="I282" t="s">
        <v>30</v>
      </c>
      <c r="J282" t="s">
        <v>52</v>
      </c>
      <c r="K282" t="s">
        <v>22</v>
      </c>
      <c r="L282" s="15">
        <v>4150</v>
      </c>
      <c r="M282" t="s">
        <v>23</v>
      </c>
      <c r="N282" s="1">
        <v>43476</v>
      </c>
      <c r="O282" t="s">
        <v>105</v>
      </c>
      <c r="P282" t="s">
        <v>444</v>
      </c>
      <c r="Q282" t="str">
        <f>_xlfn.XLOOKUP(angajati__2[[#This Row],[id_departament]],departamente!A:A,departamente!B:B)</f>
        <v>Suport Clienți</v>
      </c>
      <c r="R282">
        <f t="shared" si="12"/>
        <v>36</v>
      </c>
      <c r="S282">
        <f t="shared" si="13"/>
        <v>1.9</v>
      </c>
      <c r="T282" t="str" cm="1">
        <f t="array" ref="T282">_xlfn.IFS(
    S282&lt;1, "&lt; 1 an",
    S282&lt;3, "1–3 ani",
    S282&lt;5, "3–5 ani",
    S282&gt;=5, "&gt; 5 ani"
)</f>
        <v>1–3 ani</v>
      </c>
      <c r="U282">
        <f t="shared" si="14"/>
        <v>1</v>
      </c>
    </row>
    <row r="283" spans="1:21" x14ac:dyDescent="0.3">
      <c r="A283">
        <v>1315</v>
      </c>
      <c r="B283" t="s">
        <v>100</v>
      </c>
      <c r="C283" t="s">
        <v>171</v>
      </c>
      <c r="D283" t="s">
        <v>18</v>
      </c>
      <c r="E283" s="1">
        <v>29172</v>
      </c>
      <c r="F283" s="1">
        <v>44025</v>
      </c>
      <c r="G283">
        <v>60</v>
      </c>
      <c r="H283" t="s">
        <v>78</v>
      </c>
      <c r="I283" t="s">
        <v>39</v>
      </c>
      <c r="J283" t="s">
        <v>52</v>
      </c>
      <c r="K283" t="s">
        <v>22</v>
      </c>
      <c r="L283" s="15">
        <v>5800</v>
      </c>
      <c r="M283" t="s">
        <v>32</v>
      </c>
      <c r="P283" t="s">
        <v>445</v>
      </c>
      <c r="Q283" t="str">
        <f>_xlfn.XLOOKUP(angajati__2[[#This Row],[id_departament]],departamente!A:A,departamente!B:B)</f>
        <v>Suport Clienți</v>
      </c>
      <c r="R283">
        <f t="shared" si="12"/>
        <v>46</v>
      </c>
      <c r="S283">
        <f t="shared" si="13"/>
        <v>5.5</v>
      </c>
      <c r="T283" t="str" cm="1">
        <f t="array" ref="T283">_xlfn.IFS(
    S283&lt;1, "&lt; 1 an",
    S283&lt;3, "1–3 ani",
    S283&lt;5, "3–5 ani",
    S283&gt;=5, "&gt; 5 ani"
)</f>
        <v>&gt; 5 ani</v>
      </c>
      <c r="U283">
        <f t="shared" si="14"/>
        <v>0</v>
      </c>
    </row>
    <row r="284" spans="1:21" x14ac:dyDescent="0.3">
      <c r="A284">
        <v>1035</v>
      </c>
      <c r="B284" t="s">
        <v>157</v>
      </c>
      <c r="C284" t="s">
        <v>59</v>
      </c>
      <c r="D284" t="s">
        <v>18</v>
      </c>
      <c r="E284" s="1">
        <v>27660</v>
      </c>
      <c r="F284" s="1">
        <v>45654</v>
      </c>
      <c r="G284">
        <v>70</v>
      </c>
      <c r="H284" t="s">
        <v>38</v>
      </c>
      <c r="I284" t="s">
        <v>39</v>
      </c>
      <c r="J284" t="s">
        <v>31</v>
      </c>
      <c r="K284" t="s">
        <v>22</v>
      </c>
      <c r="L284" s="15">
        <v>7250</v>
      </c>
      <c r="M284" t="s">
        <v>32</v>
      </c>
      <c r="P284" t="s">
        <v>446</v>
      </c>
      <c r="Q284" t="str">
        <f>_xlfn.XLOOKUP(angajati__2[[#This Row],[id_departament]],departamente!A:A,departamente!B:B)</f>
        <v>Operațiuni</v>
      </c>
      <c r="R284">
        <f t="shared" si="12"/>
        <v>50</v>
      </c>
      <c r="S284">
        <f t="shared" si="13"/>
        <v>1</v>
      </c>
      <c r="T284" t="str" cm="1">
        <f t="array" ref="T284">_xlfn.IFS(
    S284&lt;1, "&lt; 1 an",
    S284&lt;3, "1–3 ani",
    S284&lt;5, "3–5 ani",
    S284&gt;=5, "&gt; 5 ani"
)</f>
        <v>1–3 ani</v>
      </c>
      <c r="U284">
        <f t="shared" si="14"/>
        <v>0</v>
      </c>
    </row>
    <row r="285" spans="1:21" x14ac:dyDescent="0.3">
      <c r="A285">
        <v>1218</v>
      </c>
      <c r="B285" t="s">
        <v>122</v>
      </c>
      <c r="C285" t="s">
        <v>110</v>
      </c>
      <c r="D285" t="s">
        <v>37</v>
      </c>
      <c r="E285" s="1">
        <v>34017</v>
      </c>
      <c r="F285" s="1">
        <v>43336</v>
      </c>
      <c r="G285">
        <v>70</v>
      </c>
      <c r="H285" t="s">
        <v>38</v>
      </c>
      <c r="I285" t="s">
        <v>39</v>
      </c>
      <c r="J285" t="s">
        <v>21</v>
      </c>
      <c r="K285" t="s">
        <v>22</v>
      </c>
      <c r="L285" s="15">
        <v>7400</v>
      </c>
      <c r="M285" t="s">
        <v>32</v>
      </c>
      <c r="P285" t="s">
        <v>447</v>
      </c>
      <c r="Q285" t="str">
        <f>_xlfn.XLOOKUP(angajati__2[[#This Row],[id_departament]],departamente!A:A,departamente!B:B)</f>
        <v>Operațiuni</v>
      </c>
      <c r="R285">
        <f t="shared" si="12"/>
        <v>32</v>
      </c>
      <c r="S285">
        <f t="shared" si="13"/>
        <v>7.4</v>
      </c>
      <c r="T285" t="str" cm="1">
        <f t="array" ref="T285">_xlfn.IFS(
    S285&lt;1, "&lt; 1 an",
    S285&lt;3, "1–3 ani",
    S285&lt;5, "3–5 ani",
    S285&gt;=5, "&gt; 5 ani"
)</f>
        <v>&gt; 5 ani</v>
      </c>
      <c r="U285">
        <f t="shared" si="14"/>
        <v>0</v>
      </c>
    </row>
    <row r="286" spans="1:21" x14ac:dyDescent="0.3">
      <c r="A286">
        <v>1073</v>
      </c>
      <c r="B286" t="s">
        <v>58</v>
      </c>
      <c r="C286" t="s">
        <v>43</v>
      </c>
      <c r="D286" t="s">
        <v>37</v>
      </c>
      <c r="E286" s="1">
        <v>32247</v>
      </c>
      <c r="F286" s="1">
        <v>45037</v>
      </c>
      <c r="G286">
        <v>10</v>
      </c>
      <c r="H286" t="s">
        <v>49</v>
      </c>
      <c r="I286" t="s">
        <v>39</v>
      </c>
      <c r="J286" t="s">
        <v>21</v>
      </c>
      <c r="K286" t="s">
        <v>40</v>
      </c>
      <c r="L286" s="15">
        <v>11300</v>
      </c>
      <c r="M286" t="s">
        <v>32</v>
      </c>
      <c r="P286" t="s">
        <v>448</v>
      </c>
      <c r="Q286" t="str">
        <f>_xlfn.XLOOKUP(angajati__2[[#This Row],[id_departament]],departamente!A:A,departamente!B:B)</f>
        <v>IT</v>
      </c>
      <c r="R286">
        <f t="shared" si="12"/>
        <v>37</v>
      </c>
      <c r="S286">
        <f t="shared" si="13"/>
        <v>2.7</v>
      </c>
      <c r="T286" t="str" cm="1">
        <f t="array" ref="T286">_xlfn.IFS(
    S286&lt;1, "&lt; 1 an",
    S286&lt;3, "1–3 ani",
    S286&lt;5, "3–5 ani",
    S286&gt;=5, "&gt; 5 ani"
)</f>
        <v>1–3 ani</v>
      </c>
      <c r="U286">
        <f t="shared" si="14"/>
        <v>0</v>
      </c>
    </row>
    <row r="287" spans="1:21" x14ac:dyDescent="0.3">
      <c r="A287">
        <v>1221</v>
      </c>
      <c r="B287" t="s">
        <v>70</v>
      </c>
      <c r="C287" t="s">
        <v>128</v>
      </c>
      <c r="D287" t="s">
        <v>18</v>
      </c>
      <c r="E287" s="1">
        <v>29321</v>
      </c>
      <c r="F287" s="1">
        <v>45636</v>
      </c>
      <c r="G287">
        <v>50</v>
      </c>
      <c r="H287" t="s">
        <v>123</v>
      </c>
      <c r="I287" t="s">
        <v>30</v>
      </c>
      <c r="J287" t="s">
        <v>52</v>
      </c>
      <c r="K287" t="s">
        <v>22</v>
      </c>
      <c r="L287" s="15">
        <v>6150</v>
      </c>
      <c r="M287" t="s">
        <v>32</v>
      </c>
      <c r="P287" t="s">
        <v>449</v>
      </c>
      <c r="Q287" t="str">
        <f>_xlfn.XLOOKUP(angajati__2[[#This Row],[id_departament]],departamente!A:A,departamente!B:B)</f>
        <v>Financiar</v>
      </c>
      <c r="R287">
        <f t="shared" si="12"/>
        <v>45</v>
      </c>
      <c r="S287">
        <f t="shared" si="13"/>
        <v>1.1000000000000001</v>
      </c>
      <c r="T287" t="str" cm="1">
        <f t="array" ref="T287">_xlfn.IFS(
    S287&lt;1, "&lt; 1 an",
    S287&lt;3, "1–3 ani",
    S287&lt;5, "3–5 ani",
    S287&gt;=5, "&gt; 5 ani"
)</f>
        <v>1–3 ani</v>
      </c>
      <c r="U287">
        <f t="shared" si="14"/>
        <v>0</v>
      </c>
    </row>
    <row r="288" spans="1:21" x14ac:dyDescent="0.3">
      <c r="A288">
        <v>1299</v>
      </c>
      <c r="B288" t="s">
        <v>134</v>
      </c>
      <c r="C288" t="s">
        <v>200</v>
      </c>
      <c r="D288" t="s">
        <v>18</v>
      </c>
      <c r="E288" s="1">
        <v>31095</v>
      </c>
      <c r="F288" s="1">
        <v>44094</v>
      </c>
      <c r="G288">
        <v>30</v>
      </c>
      <c r="H288" t="s">
        <v>209</v>
      </c>
      <c r="I288" t="s">
        <v>45</v>
      </c>
      <c r="J288" t="s">
        <v>21</v>
      </c>
      <c r="K288" t="s">
        <v>22</v>
      </c>
      <c r="L288" s="15">
        <v>3500</v>
      </c>
      <c r="M288" t="s">
        <v>32</v>
      </c>
      <c r="P288" t="s">
        <v>450</v>
      </c>
      <c r="Q288" t="str">
        <f>_xlfn.XLOOKUP(angajati__2[[#This Row],[id_departament]],departamente!A:A,departamente!B:B)</f>
        <v>Marketing</v>
      </c>
      <c r="R288">
        <f t="shared" si="12"/>
        <v>40</v>
      </c>
      <c r="S288">
        <f t="shared" si="13"/>
        <v>5.3</v>
      </c>
      <c r="T288" t="str" cm="1">
        <f t="array" ref="T288">_xlfn.IFS(
    S288&lt;1, "&lt; 1 an",
    S288&lt;3, "1–3 ani",
    S288&lt;5, "3–5 ani",
    S288&gt;=5, "&gt; 5 ani"
)</f>
        <v>&gt; 5 ani</v>
      </c>
      <c r="U288">
        <f t="shared" si="14"/>
        <v>0</v>
      </c>
    </row>
    <row r="289" spans="1:21" x14ac:dyDescent="0.3">
      <c r="A289">
        <v>1450</v>
      </c>
      <c r="B289" t="s">
        <v>54</v>
      </c>
      <c r="C289" t="s">
        <v>200</v>
      </c>
      <c r="D289" t="s">
        <v>18</v>
      </c>
      <c r="E289" s="1">
        <v>28782</v>
      </c>
      <c r="F289" s="1">
        <v>44881</v>
      </c>
      <c r="G289">
        <v>20</v>
      </c>
      <c r="H289" t="s">
        <v>60</v>
      </c>
      <c r="I289" t="s">
        <v>20</v>
      </c>
      <c r="J289" t="s">
        <v>21</v>
      </c>
      <c r="K289" t="s">
        <v>22</v>
      </c>
      <c r="L289" s="15">
        <v>11100</v>
      </c>
      <c r="M289" t="s">
        <v>32</v>
      </c>
      <c r="P289" t="s">
        <v>451</v>
      </c>
      <c r="Q289" t="str">
        <f>_xlfn.XLOOKUP(angajati__2[[#This Row],[id_departament]],departamente!A:A,departamente!B:B)</f>
        <v>Vânzări</v>
      </c>
      <c r="R289">
        <f t="shared" si="12"/>
        <v>47</v>
      </c>
      <c r="S289">
        <f t="shared" si="13"/>
        <v>3.1</v>
      </c>
      <c r="T289" t="str" cm="1">
        <f t="array" ref="T289">_xlfn.IFS(
    S289&lt;1, "&lt; 1 an",
    S289&lt;3, "1–3 ani",
    S289&lt;5, "3–5 ani",
    S289&gt;=5, "&gt; 5 ani"
)</f>
        <v>3–5 ani</v>
      </c>
      <c r="U289">
        <f t="shared" si="14"/>
        <v>0</v>
      </c>
    </row>
    <row r="290" spans="1:21" x14ac:dyDescent="0.3">
      <c r="A290">
        <v>1459</v>
      </c>
      <c r="B290" t="s">
        <v>134</v>
      </c>
      <c r="C290" t="s">
        <v>144</v>
      </c>
      <c r="D290" t="s">
        <v>37</v>
      </c>
      <c r="E290" s="1">
        <v>32104</v>
      </c>
      <c r="F290" s="1">
        <v>43392</v>
      </c>
      <c r="G290">
        <v>20</v>
      </c>
      <c r="H290" t="s">
        <v>104</v>
      </c>
      <c r="I290" t="s">
        <v>45</v>
      </c>
      <c r="J290" t="s">
        <v>21</v>
      </c>
      <c r="K290" t="s">
        <v>22</v>
      </c>
      <c r="L290" s="15">
        <v>3800</v>
      </c>
      <c r="M290" t="s">
        <v>23</v>
      </c>
      <c r="N290" s="1">
        <v>45512</v>
      </c>
      <c r="O290" t="s">
        <v>62</v>
      </c>
      <c r="P290" t="s">
        <v>452</v>
      </c>
      <c r="Q290" t="str">
        <f>_xlfn.XLOOKUP(angajati__2[[#This Row],[id_departament]],departamente!A:A,departamente!B:B)</f>
        <v>Vânzări</v>
      </c>
      <c r="R290">
        <f t="shared" si="12"/>
        <v>38</v>
      </c>
      <c r="S290">
        <f t="shared" si="13"/>
        <v>5.8</v>
      </c>
      <c r="T290" t="str" cm="1">
        <f t="array" ref="T290">_xlfn.IFS(
    S290&lt;1, "&lt; 1 an",
    S290&lt;3, "1–3 ani",
    S290&lt;5, "3–5 ani",
    S290&gt;=5, "&gt; 5 ani"
)</f>
        <v>&gt; 5 ani</v>
      </c>
      <c r="U290">
        <f t="shared" si="14"/>
        <v>1</v>
      </c>
    </row>
    <row r="291" spans="1:21" x14ac:dyDescent="0.3">
      <c r="A291">
        <v>1013</v>
      </c>
      <c r="B291" t="s">
        <v>134</v>
      </c>
      <c r="C291" t="s">
        <v>194</v>
      </c>
      <c r="D291" t="s">
        <v>37</v>
      </c>
      <c r="E291" s="1">
        <v>32390</v>
      </c>
      <c r="F291" s="1">
        <v>44331</v>
      </c>
      <c r="G291">
        <v>10</v>
      </c>
      <c r="H291" t="s">
        <v>49</v>
      </c>
      <c r="I291" t="s">
        <v>45</v>
      </c>
      <c r="J291" t="s">
        <v>52</v>
      </c>
      <c r="K291" t="s">
        <v>22</v>
      </c>
      <c r="L291" s="15">
        <v>6500</v>
      </c>
      <c r="M291" t="s">
        <v>23</v>
      </c>
      <c r="N291" s="1">
        <v>44871</v>
      </c>
      <c r="O291" t="s">
        <v>687</v>
      </c>
      <c r="P291" t="s">
        <v>453</v>
      </c>
      <c r="Q291" t="str">
        <f>_xlfn.XLOOKUP(angajati__2[[#This Row],[id_departament]],departamente!A:A,departamente!B:B)</f>
        <v>IT</v>
      </c>
      <c r="R291">
        <f t="shared" si="12"/>
        <v>37</v>
      </c>
      <c r="S291">
        <f t="shared" si="13"/>
        <v>1.5</v>
      </c>
      <c r="T291" t="str" cm="1">
        <f t="array" ref="T291">_xlfn.IFS(
    S291&lt;1, "&lt; 1 an",
    S291&lt;3, "1–3 ani",
    S291&lt;5, "3–5 ani",
    S291&gt;=5, "&gt; 5 ani"
)</f>
        <v>1–3 ani</v>
      </c>
      <c r="U291">
        <f t="shared" si="14"/>
        <v>1</v>
      </c>
    </row>
    <row r="292" spans="1:21" x14ac:dyDescent="0.3">
      <c r="A292">
        <v>1199</v>
      </c>
      <c r="B292" t="s">
        <v>48</v>
      </c>
      <c r="C292" t="s">
        <v>155</v>
      </c>
      <c r="D292" t="s">
        <v>37</v>
      </c>
      <c r="E292" s="1">
        <v>29334</v>
      </c>
      <c r="F292" s="1">
        <v>43039</v>
      </c>
      <c r="G292">
        <v>60</v>
      </c>
      <c r="H292" t="s">
        <v>78</v>
      </c>
      <c r="I292" t="s">
        <v>39</v>
      </c>
      <c r="J292" t="s">
        <v>52</v>
      </c>
      <c r="K292" t="s">
        <v>22</v>
      </c>
      <c r="L292" s="15">
        <v>5550</v>
      </c>
      <c r="M292" t="s">
        <v>32</v>
      </c>
      <c r="P292" t="s">
        <v>454</v>
      </c>
      <c r="Q292" t="str">
        <f>_xlfn.XLOOKUP(angajati__2[[#This Row],[id_departament]],departamente!A:A,departamente!B:B)</f>
        <v>Suport Clienți</v>
      </c>
      <c r="R292">
        <f t="shared" si="12"/>
        <v>45</v>
      </c>
      <c r="S292">
        <f t="shared" si="13"/>
        <v>8.1999999999999993</v>
      </c>
      <c r="T292" t="str" cm="1">
        <f t="array" ref="T292">_xlfn.IFS(
    S292&lt;1, "&lt; 1 an",
    S292&lt;3, "1–3 ani",
    S292&lt;5, "3–5 ani",
    S292&gt;=5, "&gt; 5 ani"
)</f>
        <v>&gt; 5 ani</v>
      </c>
      <c r="U292">
        <f t="shared" si="14"/>
        <v>0</v>
      </c>
    </row>
    <row r="293" spans="1:21" x14ac:dyDescent="0.3">
      <c r="A293">
        <v>1214</v>
      </c>
      <c r="B293" t="s">
        <v>180</v>
      </c>
      <c r="C293" t="s">
        <v>90</v>
      </c>
      <c r="D293" t="s">
        <v>18</v>
      </c>
      <c r="E293" s="1">
        <v>32726</v>
      </c>
      <c r="F293" s="1">
        <v>43225</v>
      </c>
      <c r="G293">
        <v>50</v>
      </c>
      <c r="H293" t="s">
        <v>71</v>
      </c>
      <c r="I293" t="s">
        <v>30</v>
      </c>
      <c r="J293" t="s">
        <v>52</v>
      </c>
      <c r="K293" t="s">
        <v>22</v>
      </c>
      <c r="L293" s="15">
        <v>7500</v>
      </c>
      <c r="M293" t="s">
        <v>32</v>
      </c>
      <c r="P293" t="s">
        <v>455</v>
      </c>
      <c r="Q293" t="str">
        <f>_xlfn.XLOOKUP(angajati__2[[#This Row],[id_departament]],departamente!A:A,departamente!B:B)</f>
        <v>Financiar</v>
      </c>
      <c r="R293">
        <f t="shared" si="12"/>
        <v>36</v>
      </c>
      <c r="S293">
        <f t="shared" si="13"/>
        <v>7.7</v>
      </c>
      <c r="T293" t="str" cm="1">
        <f t="array" ref="T293">_xlfn.IFS(
    S293&lt;1, "&lt; 1 an",
    S293&lt;3, "1–3 ani",
    S293&lt;5, "3–5 ani",
    S293&gt;=5, "&gt; 5 ani"
)</f>
        <v>&gt; 5 ani</v>
      </c>
      <c r="U293">
        <f t="shared" si="14"/>
        <v>0</v>
      </c>
    </row>
    <row r="294" spans="1:21" x14ac:dyDescent="0.3">
      <c r="A294">
        <v>1432</v>
      </c>
      <c r="B294" t="s">
        <v>42</v>
      </c>
      <c r="C294" t="s">
        <v>266</v>
      </c>
      <c r="D294" t="s">
        <v>37</v>
      </c>
      <c r="E294" s="1">
        <v>31158</v>
      </c>
      <c r="F294" s="1">
        <v>44437</v>
      </c>
      <c r="G294">
        <v>30</v>
      </c>
      <c r="H294" t="s">
        <v>56</v>
      </c>
      <c r="I294" t="s">
        <v>45</v>
      </c>
      <c r="J294" t="s">
        <v>46</v>
      </c>
      <c r="K294" t="s">
        <v>22</v>
      </c>
      <c r="L294" s="15">
        <v>3800</v>
      </c>
      <c r="M294" t="s">
        <v>32</v>
      </c>
      <c r="P294" t="s">
        <v>456</v>
      </c>
      <c r="Q294" t="str">
        <f>_xlfn.XLOOKUP(angajati__2[[#This Row],[id_departament]],departamente!A:A,departamente!B:B)</f>
        <v>Marketing</v>
      </c>
      <c r="R294">
        <f t="shared" si="12"/>
        <v>40</v>
      </c>
      <c r="S294">
        <f t="shared" si="13"/>
        <v>4.3</v>
      </c>
      <c r="T294" t="str" cm="1">
        <f t="array" ref="T294">_xlfn.IFS(
    S294&lt;1, "&lt; 1 an",
    S294&lt;3, "1–3 ani",
    S294&lt;5, "3–5 ani",
    S294&gt;=5, "&gt; 5 ani"
)</f>
        <v>3–5 ani</v>
      </c>
      <c r="U294">
        <f t="shared" si="14"/>
        <v>0</v>
      </c>
    </row>
    <row r="295" spans="1:21" x14ac:dyDescent="0.3">
      <c r="A295">
        <v>1235</v>
      </c>
      <c r="B295" t="s">
        <v>147</v>
      </c>
      <c r="C295" t="s">
        <v>266</v>
      </c>
      <c r="D295" t="s">
        <v>37</v>
      </c>
      <c r="E295" s="1">
        <v>28006</v>
      </c>
      <c r="F295" s="1">
        <v>44296</v>
      </c>
      <c r="G295">
        <v>60</v>
      </c>
      <c r="H295" t="s">
        <v>29</v>
      </c>
      <c r="I295" t="s">
        <v>30</v>
      </c>
      <c r="J295" t="s">
        <v>52</v>
      </c>
      <c r="K295" t="s">
        <v>22</v>
      </c>
      <c r="L295" s="15">
        <v>4600</v>
      </c>
      <c r="M295" t="s">
        <v>32</v>
      </c>
      <c r="P295" t="s">
        <v>457</v>
      </c>
      <c r="Q295" t="str">
        <f>_xlfn.XLOOKUP(angajati__2[[#This Row],[id_departament]],departamente!A:A,departamente!B:B)</f>
        <v>Suport Clienți</v>
      </c>
      <c r="R295">
        <f t="shared" si="12"/>
        <v>49</v>
      </c>
      <c r="S295">
        <f t="shared" si="13"/>
        <v>4.7</v>
      </c>
      <c r="T295" t="str" cm="1">
        <f t="array" ref="T295">_xlfn.IFS(
    S295&lt;1, "&lt; 1 an",
    S295&lt;3, "1–3 ani",
    S295&lt;5, "3–5 ani",
    S295&gt;=5, "&gt; 5 ani"
)</f>
        <v>3–5 ani</v>
      </c>
      <c r="U295">
        <f t="shared" si="14"/>
        <v>0</v>
      </c>
    </row>
    <row r="296" spans="1:21" x14ac:dyDescent="0.3">
      <c r="A296">
        <v>1412</v>
      </c>
      <c r="B296" t="s">
        <v>164</v>
      </c>
      <c r="C296" t="s">
        <v>266</v>
      </c>
      <c r="D296" t="s">
        <v>37</v>
      </c>
      <c r="E296" s="1">
        <v>30519</v>
      </c>
      <c r="F296" s="1">
        <v>42656</v>
      </c>
      <c r="G296">
        <v>10</v>
      </c>
      <c r="H296" t="s">
        <v>275</v>
      </c>
      <c r="I296" t="s">
        <v>20</v>
      </c>
      <c r="J296" t="s">
        <v>21</v>
      </c>
      <c r="K296" t="s">
        <v>40</v>
      </c>
      <c r="L296" s="15">
        <v>16400</v>
      </c>
      <c r="M296" t="s">
        <v>32</v>
      </c>
      <c r="P296" t="s">
        <v>458</v>
      </c>
      <c r="Q296" t="str">
        <f>_xlfn.XLOOKUP(angajati__2[[#This Row],[id_departament]],departamente!A:A,departamente!B:B)</f>
        <v>IT</v>
      </c>
      <c r="R296">
        <f t="shared" si="12"/>
        <v>42</v>
      </c>
      <c r="S296">
        <f t="shared" si="13"/>
        <v>9.1999999999999993</v>
      </c>
      <c r="T296" t="str" cm="1">
        <f t="array" ref="T296">_xlfn.IFS(
    S296&lt;1, "&lt; 1 an",
    S296&lt;3, "1–3 ani",
    S296&lt;5, "3–5 ani",
    S296&gt;=5, "&gt; 5 ani"
)</f>
        <v>&gt; 5 ani</v>
      </c>
      <c r="U296">
        <f t="shared" si="14"/>
        <v>0</v>
      </c>
    </row>
    <row r="297" spans="1:21" x14ac:dyDescent="0.3">
      <c r="A297">
        <v>1425</v>
      </c>
      <c r="B297" t="s">
        <v>180</v>
      </c>
      <c r="C297" t="s">
        <v>171</v>
      </c>
      <c r="D297" t="s">
        <v>18</v>
      </c>
      <c r="E297" s="1">
        <v>29069</v>
      </c>
      <c r="F297" s="1">
        <v>43294</v>
      </c>
      <c r="G297">
        <v>20</v>
      </c>
      <c r="H297" t="s">
        <v>68</v>
      </c>
      <c r="I297" t="s">
        <v>30</v>
      </c>
      <c r="J297" t="s">
        <v>21</v>
      </c>
      <c r="K297" t="s">
        <v>22</v>
      </c>
      <c r="L297" s="15">
        <v>5050</v>
      </c>
      <c r="M297" t="s">
        <v>23</v>
      </c>
      <c r="N297" s="1">
        <v>44727</v>
      </c>
      <c r="O297" t="s">
        <v>186</v>
      </c>
      <c r="P297" t="s">
        <v>459</v>
      </c>
      <c r="Q297" t="str">
        <f>_xlfn.XLOOKUP(angajati__2[[#This Row],[id_departament]],departamente!A:A,departamente!B:B)</f>
        <v>Vânzări</v>
      </c>
      <c r="R297">
        <f t="shared" si="12"/>
        <v>46</v>
      </c>
      <c r="S297">
        <f t="shared" si="13"/>
        <v>3.9</v>
      </c>
      <c r="T297" t="str" cm="1">
        <f t="array" ref="T297">_xlfn.IFS(
    S297&lt;1, "&lt; 1 an",
    S297&lt;3, "1–3 ani",
    S297&lt;5, "3–5 ani",
    S297&gt;=5, "&gt; 5 ani"
)</f>
        <v>3–5 ani</v>
      </c>
      <c r="U297">
        <f t="shared" si="14"/>
        <v>1</v>
      </c>
    </row>
    <row r="298" spans="1:21" x14ac:dyDescent="0.3">
      <c r="A298">
        <v>1442</v>
      </c>
      <c r="B298" t="s">
        <v>80</v>
      </c>
      <c r="C298" t="s">
        <v>273</v>
      </c>
      <c r="D298" t="s">
        <v>18</v>
      </c>
      <c r="E298" s="1">
        <v>33965</v>
      </c>
      <c r="F298" s="1">
        <v>45537</v>
      </c>
      <c r="G298">
        <v>50</v>
      </c>
      <c r="H298" t="s">
        <v>123</v>
      </c>
      <c r="I298" t="s">
        <v>39</v>
      </c>
      <c r="J298" t="s">
        <v>52</v>
      </c>
      <c r="K298" t="s">
        <v>22</v>
      </c>
      <c r="L298" s="15">
        <v>10100</v>
      </c>
      <c r="M298" t="s">
        <v>32</v>
      </c>
      <c r="P298" t="s">
        <v>460</v>
      </c>
      <c r="Q298" t="str">
        <f>_xlfn.XLOOKUP(angajati__2[[#This Row],[id_departament]],departamente!A:A,departamente!B:B)</f>
        <v>Financiar</v>
      </c>
      <c r="R298">
        <f t="shared" si="12"/>
        <v>33</v>
      </c>
      <c r="S298">
        <f t="shared" si="13"/>
        <v>1.3</v>
      </c>
      <c r="T298" t="str" cm="1">
        <f t="array" ref="T298">_xlfn.IFS(
    S298&lt;1, "&lt; 1 an",
    S298&lt;3, "1–3 ani",
    S298&lt;5, "3–5 ani",
    S298&gt;=5, "&gt; 5 ani"
)</f>
        <v>1–3 ani</v>
      </c>
      <c r="U298">
        <f t="shared" si="14"/>
        <v>0</v>
      </c>
    </row>
    <row r="299" spans="1:21" x14ac:dyDescent="0.3">
      <c r="A299">
        <v>1097</v>
      </c>
      <c r="B299" t="s">
        <v>80</v>
      </c>
      <c r="C299" t="s">
        <v>126</v>
      </c>
      <c r="D299" t="s">
        <v>37</v>
      </c>
      <c r="E299" s="1">
        <v>34208</v>
      </c>
      <c r="F299" s="1">
        <v>43050</v>
      </c>
      <c r="G299">
        <v>70</v>
      </c>
      <c r="H299" t="s">
        <v>38</v>
      </c>
      <c r="I299" t="s">
        <v>45</v>
      </c>
      <c r="J299" t="s">
        <v>31</v>
      </c>
      <c r="K299" t="s">
        <v>22</v>
      </c>
      <c r="L299" s="15">
        <v>3100</v>
      </c>
      <c r="M299" t="s">
        <v>23</v>
      </c>
      <c r="N299" s="1">
        <v>43973</v>
      </c>
      <c r="O299" t="s">
        <v>105</v>
      </c>
      <c r="P299" t="s">
        <v>461</v>
      </c>
      <c r="Q299" t="str">
        <f>_xlfn.XLOOKUP(angajati__2[[#This Row],[id_departament]],departamente!A:A,departamente!B:B)</f>
        <v>Operațiuni</v>
      </c>
      <c r="R299">
        <f t="shared" si="12"/>
        <v>32</v>
      </c>
      <c r="S299">
        <f t="shared" si="13"/>
        <v>2.5</v>
      </c>
      <c r="T299" t="str" cm="1">
        <f t="array" ref="T299">_xlfn.IFS(
    S299&lt;1, "&lt; 1 an",
    S299&lt;3, "1–3 ani",
    S299&lt;5, "3–5 ani",
    S299&gt;=5, "&gt; 5 ani"
)</f>
        <v>1–3 ani</v>
      </c>
      <c r="U299">
        <f t="shared" si="14"/>
        <v>1</v>
      </c>
    </row>
    <row r="300" spans="1:21" x14ac:dyDescent="0.3">
      <c r="A300">
        <v>1311</v>
      </c>
      <c r="B300" t="s">
        <v>136</v>
      </c>
      <c r="C300" t="s">
        <v>194</v>
      </c>
      <c r="D300" t="s">
        <v>37</v>
      </c>
      <c r="E300" s="1">
        <v>33068</v>
      </c>
      <c r="F300" s="1">
        <v>45146</v>
      </c>
      <c r="G300">
        <v>40</v>
      </c>
      <c r="H300" t="s">
        <v>101</v>
      </c>
      <c r="I300" t="s">
        <v>30</v>
      </c>
      <c r="J300" t="s">
        <v>21</v>
      </c>
      <c r="K300" t="s">
        <v>22</v>
      </c>
      <c r="L300" s="15">
        <v>6300</v>
      </c>
      <c r="M300" t="s">
        <v>32</v>
      </c>
      <c r="P300" t="s">
        <v>462</v>
      </c>
      <c r="Q300" t="str">
        <f>_xlfn.XLOOKUP(angajati__2[[#This Row],[id_departament]],departamente!A:A,departamente!B:B)</f>
        <v>Resurse Umane</v>
      </c>
      <c r="R300">
        <f t="shared" si="12"/>
        <v>35</v>
      </c>
      <c r="S300">
        <f t="shared" si="13"/>
        <v>2.4</v>
      </c>
      <c r="T300" t="str" cm="1">
        <f t="array" ref="T300">_xlfn.IFS(
    S300&lt;1, "&lt; 1 an",
    S300&lt;3, "1–3 ani",
    S300&lt;5, "3–5 ani",
    S300&gt;=5, "&gt; 5 ani"
)</f>
        <v>1–3 ani</v>
      </c>
      <c r="U300">
        <f t="shared" si="14"/>
        <v>0</v>
      </c>
    </row>
    <row r="301" spans="1:21" x14ac:dyDescent="0.3">
      <c r="A301">
        <v>1298</v>
      </c>
      <c r="B301" t="s">
        <v>54</v>
      </c>
      <c r="C301" t="s">
        <v>43</v>
      </c>
      <c r="D301" t="s">
        <v>37</v>
      </c>
      <c r="E301" s="1">
        <v>29088</v>
      </c>
      <c r="F301" s="1">
        <v>44408</v>
      </c>
      <c r="G301">
        <v>20</v>
      </c>
      <c r="H301" t="s">
        <v>104</v>
      </c>
      <c r="I301" t="s">
        <v>30</v>
      </c>
      <c r="J301" t="s">
        <v>31</v>
      </c>
      <c r="K301" t="s">
        <v>22</v>
      </c>
      <c r="L301" s="15">
        <v>5050</v>
      </c>
      <c r="M301" t="s">
        <v>23</v>
      </c>
      <c r="N301" s="1">
        <v>44949</v>
      </c>
      <c r="O301" t="s">
        <v>62</v>
      </c>
      <c r="P301" t="s">
        <v>463</v>
      </c>
      <c r="Q301" t="str">
        <f>_xlfn.XLOOKUP(angajati__2[[#This Row],[id_departament]],departamente!A:A,departamente!B:B)</f>
        <v>Vânzări</v>
      </c>
      <c r="R301">
        <f t="shared" si="12"/>
        <v>46</v>
      </c>
      <c r="S301">
        <f t="shared" si="13"/>
        <v>1.5</v>
      </c>
      <c r="T301" t="str" cm="1">
        <f t="array" ref="T301">_xlfn.IFS(
    S301&lt;1, "&lt; 1 an",
    S301&lt;3, "1–3 ani",
    S301&lt;5, "3–5 ani",
    S301&gt;=5, "&gt; 5 ani"
)</f>
        <v>1–3 ani</v>
      </c>
      <c r="U301">
        <f t="shared" si="14"/>
        <v>1</v>
      </c>
    </row>
    <row r="302" spans="1:21" x14ac:dyDescent="0.3">
      <c r="A302">
        <v>1064</v>
      </c>
      <c r="B302" t="s">
        <v>89</v>
      </c>
      <c r="C302" t="s">
        <v>128</v>
      </c>
      <c r="D302" t="s">
        <v>18</v>
      </c>
      <c r="E302" s="1">
        <v>30229</v>
      </c>
      <c r="F302" s="1">
        <v>45855</v>
      </c>
      <c r="G302">
        <v>60</v>
      </c>
      <c r="H302" t="s">
        <v>29</v>
      </c>
      <c r="I302" t="s">
        <v>30</v>
      </c>
      <c r="J302" t="s">
        <v>21</v>
      </c>
      <c r="K302" t="s">
        <v>22</v>
      </c>
      <c r="L302" s="15">
        <v>4350</v>
      </c>
      <c r="M302" t="s">
        <v>23</v>
      </c>
      <c r="N302" s="1">
        <v>45969</v>
      </c>
      <c r="O302" t="s">
        <v>117</v>
      </c>
      <c r="P302" t="s">
        <v>464</v>
      </c>
      <c r="Q302" t="str">
        <f>_xlfn.XLOOKUP(angajati__2[[#This Row],[id_departament]],departamente!A:A,departamente!B:B)</f>
        <v>Suport Clienți</v>
      </c>
      <c r="R302">
        <f t="shared" si="12"/>
        <v>43</v>
      </c>
      <c r="S302">
        <f t="shared" si="13"/>
        <v>0.3</v>
      </c>
      <c r="T302" t="str" cm="1">
        <f t="array" ref="T302">_xlfn.IFS(
    S302&lt;1, "&lt; 1 an",
    S302&lt;3, "1–3 ani",
    S302&lt;5, "3–5 ani",
    S302&gt;=5, "&gt; 5 ani"
)</f>
        <v>&lt; 1 an</v>
      </c>
      <c r="U302">
        <f t="shared" si="14"/>
        <v>1</v>
      </c>
    </row>
    <row r="303" spans="1:21" x14ac:dyDescent="0.3">
      <c r="A303">
        <v>1223</v>
      </c>
      <c r="B303" t="s">
        <v>188</v>
      </c>
      <c r="C303" t="s">
        <v>178</v>
      </c>
      <c r="D303" t="s">
        <v>18</v>
      </c>
      <c r="E303" s="1">
        <v>33685</v>
      </c>
      <c r="F303" s="1">
        <v>43646</v>
      </c>
      <c r="G303">
        <v>60</v>
      </c>
      <c r="H303" t="s">
        <v>29</v>
      </c>
      <c r="I303" t="s">
        <v>39</v>
      </c>
      <c r="J303" t="s">
        <v>52</v>
      </c>
      <c r="K303" t="s">
        <v>22</v>
      </c>
      <c r="L303" s="15">
        <v>4850</v>
      </c>
      <c r="M303" t="s">
        <v>23</v>
      </c>
      <c r="N303" s="1">
        <v>44162</v>
      </c>
      <c r="O303" t="s">
        <v>186</v>
      </c>
      <c r="P303" t="s">
        <v>465</v>
      </c>
      <c r="Q303" t="str">
        <f>_xlfn.XLOOKUP(angajati__2[[#This Row],[id_departament]],departamente!A:A,departamente!B:B)</f>
        <v>Suport Clienți</v>
      </c>
      <c r="R303">
        <f t="shared" si="12"/>
        <v>33</v>
      </c>
      <c r="S303">
        <f t="shared" si="13"/>
        <v>1.4</v>
      </c>
      <c r="T303" t="str" cm="1">
        <f t="array" ref="T303">_xlfn.IFS(
    S303&lt;1, "&lt; 1 an",
    S303&lt;3, "1–3 ani",
    S303&lt;5, "3–5 ani",
    S303&gt;=5, "&gt; 5 ani"
)</f>
        <v>1–3 ani</v>
      </c>
      <c r="U303">
        <f t="shared" si="14"/>
        <v>1</v>
      </c>
    </row>
    <row r="304" spans="1:21" x14ac:dyDescent="0.3">
      <c r="A304">
        <v>1096</v>
      </c>
      <c r="B304" t="s">
        <v>80</v>
      </c>
      <c r="C304" t="s">
        <v>27</v>
      </c>
      <c r="D304" t="s">
        <v>37</v>
      </c>
      <c r="E304" s="1">
        <v>34723</v>
      </c>
      <c r="F304" s="1">
        <v>42944</v>
      </c>
      <c r="G304">
        <v>10</v>
      </c>
      <c r="H304" t="s">
        <v>87</v>
      </c>
      <c r="I304" t="s">
        <v>45</v>
      </c>
      <c r="J304" t="s">
        <v>21</v>
      </c>
      <c r="K304" t="s">
        <v>40</v>
      </c>
      <c r="L304" s="15">
        <v>6400</v>
      </c>
      <c r="M304" t="s">
        <v>32</v>
      </c>
      <c r="Q304" t="str">
        <f>_xlfn.XLOOKUP(angajati__2[[#This Row],[id_departament]],departamente!A:A,departamente!B:B)</f>
        <v>IT</v>
      </c>
      <c r="R304">
        <f t="shared" si="12"/>
        <v>30</v>
      </c>
      <c r="S304">
        <f t="shared" si="13"/>
        <v>8.4</v>
      </c>
      <c r="T304" t="str" cm="1">
        <f t="array" ref="T304">_xlfn.IFS(
    S304&lt;1, "&lt; 1 an",
    S304&lt;3, "1–3 ani",
    S304&lt;5, "3–5 ani",
    S304&gt;=5, "&gt; 5 ani"
)</f>
        <v>&gt; 5 ani</v>
      </c>
      <c r="U304">
        <f t="shared" si="14"/>
        <v>0</v>
      </c>
    </row>
    <row r="305" spans="1:21" x14ac:dyDescent="0.3">
      <c r="A305">
        <v>1014</v>
      </c>
      <c r="B305" t="s">
        <v>48</v>
      </c>
      <c r="C305" t="s">
        <v>194</v>
      </c>
      <c r="D305" t="s">
        <v>37</v>
      </c>
      <c r="E305" s="1">
        <v>36512</v>
      </c>
      <c r="F305" s="1">
        <v>45231</v>
      </c>
      <c r="G305">
        <v>70</v>
      </c>
      <c r="H305" t="s">
        <v>116</v>
      </c>
      <c r="I305" t="s">
        <v>45</v>
      </c>
      <c r="J305" t="s">
        <v>31</v>
      </c>
      <c r="K305" t="s">
        <v>40</v>
      </c>
      <c r="L305" s="15">
        <v>3600</v>
      </c>
      <c r="M305" t="s">
        <v>32</v>
      </c>
      <c r="P305" t="s">
        <v>466</v>
      </c>
      <c r="Q305" t="str">
        <f>_xlfn.XLOOKUP(angajati__2[[#This Row],[id_departament]],departamente!A:A,departamente!B:B)</f>
        <v>Operațiuni</v>
      </c>
      <c r="R305">
        <f t="shared" si="12"/>
        <v>26</v>
      </c>
      <c r="S305">
        <f t="shared" si="13"/>
        <v>2.2000000000000002</v>
      </c>
      <c r="T305" t="str" cm="1">
        <f t="array" ref="T305">_xlfn.IFS(
    S305&lt;1, "&lt; 1 an",
    S305&lt;3, "1–3 ani",
    S305&lt;5, "3–5 ani",
    S305&gt;=5, "&gt; 5 ani"
)</f>
        <v>1–3 ani</v>
      </c>
      <c r="U305">
        <f t="shared" si="14"/>
        <v>0</v>
      </c>
    </row>
    <row r="306" spans="1:21" x14ac:dyDescent="0.3">
      <c r="A306">
        <v>1018</v>
      </c>
      <c r="B306" t="s">
        <v>204</v>
      </c>
      <c r="C306" t="s">
        <v>206</v>
      </c>
      <c r="D306" t="s">
        <v>18</v>
      </c>
      <c r="E306" s="1">
        <v>35272</v>
      </c>
      <c r="F306" s="1">
        <v>43905</v>
      </c>
      <c r="G306">
        <v>60</v>
      </c>
      <c r="H306" t="s">
        <v>29</v>
      </c>
      <c r="I306" t="s">
        <v>45</v>
      </c>
      <c r="J306" t="s">
        <v>52</v>
      </c>
      <c r="K306" t="s">
        <v>22</v>
      </c>
      <c r="L306" s="15">
        <v>2700</v>
      </c>
      <c r="M306" t="s">
        <v>23</v>
      </c>
      <c r="N306" s="1">
        <v>45941</v>
      </c>
      <c r="O306" t="s">
        <v>105</v>
      </c>
      <c r="P306" t="s">
        <v>467</v>
      </c>
      <c r="Q306" t="str">
        <f>_xlfn.XLOOKUP(angajati__2[[#This Row],[id_departament]],departamente!A:A,departamente!B:B)</f>
        <v>Suport Clienți</v>
      </c>
      <c r="R306">
        <f t="shared" si="12"/>
        <v>29</v>
      </c>
      <c r="S306">
        <f t="shared" si="13"/>
        <v>5.6</v>
      </c>
      <c r="T306" t="str" cm="1">
        <f t="array" ref="T306">_xlfn.IFS(
    S306&lt;1, "&lt; 1 an",
    S306&lt;3, "1–3 ani",
    S306&lt;5, "3–5 ani",
    S306&gt;=5, "&gt; 5 ani"
)</f>
        <v>&gt; 5 ani</v>
      </c>
      <c r="U306">
        <f t="shared" si="14"/>
        <v>1</v>
      </c>
    </row>
    <row r="307" spans="1:21" x14ac:dyDescent="0.3">
      <c r="A307">
        <v>1356</v>
      </c>
      <c r="B307" t="s">
        <v>136</v>
      </c>
      <c r="C307" t="s">
        <v>247</v>
      </c>
      <c r="D307" t="s">
        <v>18</v>
      </c>
      <c r="E307" s="1">
        <v>30692</v>
      </c>
      <c r="F307" s="1">
        <v>43246</v>
      </c>
      <c r="G307">
        <v>60</v>
      </c>
      <c r="H307" t="s">
        <v>29</v>
      </c>
      <c r="I307" t="s">
        <v>30</v>
      </c>
      <c r="J307" t="s">
        <v>52</v>
      </c>
      <c r="K307" t="s">
        <v>22</v>
      </c>
      <c r="L307" s="15">
        <v>3700</v>
      </c>
      <c r="M307" t="s">
        <v>32</v>
      </c>
      <c r="P307" t="s">
        <v>468</v>
      </c>
      <c r="Q307" t="str">
        <f>_xlfn.XLOOKUP(angajati__2[[#This Row],[id_departament]],departamente!A:A,departamente!B:B)</f>
        <v>Suport Clienți</v>
      </c>
      <c r="R307">
        <f t="shared" si="12"/>
        <v>41</v>
      </c>
      <c r="S307">
        <f t="shared" si="13"/>
        <v>7.6</v>
      </c>
      <c r="T307" t="str" cm="1">
        <f t="array" ref="T307">_xlfn.IFS(
    S307&lt;1, "&lt; 1 an",
    S307&lt;3, "1–3 ani",
    S307&lt;5, "3–5 ani",
    S307&gt;=5, "&gt; 5 ani"
)</f>
        <v>&gt; 5 ani</v>
      </c>
      <c r="U307">
        <f t="shared" si="14"/>
        <v>0</v>
      </c>
    </row>
    <row r="308" spans="1:21" x14ac:dyDescent="0.3">
      <c r="A308">
        <v>1247</v>
      </c>
      <c r="B308" t="s">
        <v>42</v>
      </c>
      <c r="C308" t="s">
        <v>119</v>
      </c>
      <c r="D308" t="s">
        <v>18</v>
      </c>
      <c r="E308" s="1">
        <v>33487</v>
      </c>
      <c r="F308" s="1">
        <v>45077</v>
      </c>
      <c r="G308">
        <v>70</v>
      </c>
      <c r="H308" t="s">
        <v>38</v>
      </c>
      <c r="I308" t="s">
        <v>30</v>
      </c>
      <c r="J308" t="s">
        <v>31</v>
      </c>
      <c r="K308" t="s">
        <v>22</v>
      </c>
      <c r="L308" s="15">
        <v>4650</v>
      </c>
      <c r="M308" t="s">
        <v>32</v>
      </c>
      <c r="P308" t="s">
        <v>469</v>
      </c>
      <c r="Q308" t="str">
        <f>_xlfn.XLOOKUP(angajati__2[[#This Row],[id_departament]],departamente!A:A,departamente!B:B)</f>
        <v>Operațiuni</v>
      </c>
      <c r="R308">
        <f t="shared" si="12"/>
        <v>34</v>
      </c>
      <c r="S308">
        <f t="shared" si="13"/>
        <v>2.6</v>
      </c>
      <c r="T308" t="str" cm="1">
        <f t="array" ref="T308">_xlfn.IFS(
    S308&lt;1, "&lt; 1 an",
    S308&lt;3, "1–3 ani",
    S308&lt;5, "3–5 ani",
    S308&gt;=5, "&gt; 5 ani"
)</f>
        <v>1–3 ani</v>
      </c>
      <c r="U308">
        <f t="shared" si="14"/>
        <v>0</v>
      </c>
    </row>
    <row r="309" spans="1:21" x14ac:dyDescent="0.3">
      <c r="A309">
        <v>1382</v>
      </c>
      <c r="B309" t="s">
        <v>396</v>
      </c>
      <c r="C309" t="s">
        <v>110</v>
      </c>
      <c r="D309" t="s">
        <v>37</v>
      </c>
      <c r="E309" s="1">
        <v>35233</v>
      </c>
      <c r="F309" s="1">
        <v>45379</v>
      </c>
      <c r="G309">
        <v>50</v>
      </c>
      <c r="H309" t="s">
        <v>71</v>
      </c>
      <c r="I309" t="s">
        <v>45</v>
      </c>
      <c r="J309" t="s">
        <v>52</v>
      </c>
      <c r="K309" t="s">
        <v>22</v>
      </c>
      <c r="L309" s="15">
        <v>4800</v>
      </c>
      <c r="M309" t="s">
        <v>32</v>
      </c>
      <c r="P309" t="s">
        <v>470</v>
      </c>
      <c r="Q309" t="str">
        <f>_xlfn.XLOOKUP(angajati__2[[#This Row],[id_departament]],departamente!A:A,departamente!B:B)</f>
        <v>Financiar</v>
      </c>
      <c r="R309">
        <f t="shared" si="12"/>
        <v>29</v>
      </c>
      <c r="S309">
        <f t="shared" si="13"/>
        <v>1.8</v>
      </c>
      <c r="T309" t="str" cm="1">
        <f t="array" ref="T309">_xlfn.IFS(
    S309&lt;1, "&lt; 1 an",
    S309&lt;3, "1–3 ani",
    S309&lt;5, "3–5 ani",
    S309&gt;=5, "&gt; 5 ani"
)</f>
        <v>1–3 ani</v>
      </c>
      <c r="U309">
        <f t="shared" si="14"/>
        <v>0</v>
      </c>
    </row>
    <row r="310" spans="1:21" x14ac:dyDescent="0.3">
      <c r="A310">
        <v>1208</v>
      </c>
      <c r="B310" t="s">
        <v>396</v>
      </c>
      <c r="C310" t="s">
        <v>144</v>
      </c>
      <c r="D310" t="s">
        <v>37</v>
      </c>
      <c r="E310" s="1">
        <v>33738</v>
      </c>
      <c r="F310" s="1">
        <v>44198</v>
      </c>
      <c r="G310">
        <v>60</v>
      </c>
      <c r="H310" t="s">
        <v>78</v>
      </c>
      <c r="I310" t="s">
        <v>30</v>
      </c>
      <c r="J310" t="s">
        <v>31</v>
      </c>
      <c r="K310" t="s">
        <v>22</v>
      </c>
      <c r="L310" s="15">
        <v>4900</v>
      </c>
      <c r="M310" t="s">
        <v>32</v>
      </c>
      <c r="P310" t="s">
        <v>471</v>
      </c>
      <c r="Q310" t="str">
        <f>_xlfn.XLOOKUP(angajati__2[[#This Row],[id_departament]],departamente!A:A,departamente!B:B)</f>
        <v>Suport Clienți</v>
      </c>
      <c r="R310">
        <f t="shared" si="12"/>
        <v>33</v>
      </c>
      <c r="S310">
        <f t="shared" si="13"/>
        <v>5</v>
      </c>
      <c r="T310" t="str" cm="1">
        <f t="array" ref="T310">_xlfn.IFS(
    S310&lt;1, "&lt; 1 an",
    S310&lt;3, "1–3 ani",
    S310&lt;5, "3–5 ani",
    S310&gt;=5, "&gt; 5 ani"
)</f>
        <v>&gt; 5 ani</v>
      </c>
      <c r="U310">
        <f t="shared" si="14"/>
        <v>0</v>
      </c>
    </row>
    <row r="311" spans="1:21" x14ac:dyDescent="0.3">
      <c r="A311">
        <v>1091</v>
      </c>
      <c r="B311" t="s">
        <v>164</v>
      </c>
      <c r="C311" t="s">
        <v>98</v>
      </c>
      <c r="D311" t="s">
        <v>37</v>
      </c>
      <c r="E311" s="1">
        <v>32559</v>
      </c>
      <c r="F311" s="1">
        <v>45502</v>
      </c>
      <c r="G311">
        <v>20</v>
      </c>
      <c r="H311" t="s">
        <v>68</v>
      </c>
      <c r="I311" t="s">
        <v>30</v>
      </c>
      <c r="J311" t="s">
        <v>21</v>
      </c>
      <c r="K311" t="s">
        <v>40</v>
      </c>
      <c r="L311" s="15">
        <v>5850</v>
      </c>
      <c r="M311" t="s">
        <v>32</v>
      </c>
      <c r="P311" t="s">
        <v>472</v>
      </c>
      <c r="Q311" t="str">
        <f>_xlfn.XLOOKUP(angajati__2[[#This Row],[id_departament]],departamente!A:A,departamente!B:B)</f>
        <v>Vânzări</v>
      </c>
      <c r="R311">
        <f t="shared" si="12"/>
        <v>36</v>
      </c>
      <c r="S311">
        <f t="shared" si="13"/>
        <v>1.4</v>
      </c>
      <c r="T311" t="str" cm="1">
        <f t="array" ref="T311">_xlfn.IFS(
    S311&lt;1, "&lt; 1 an",
    S311&lt;3, "1–3 ani",
    S311&lt;5, "3–5 ani",
    S311&gt;=5, "&gt; 5 ani"
)</f>
        <v>1–3 ani</v>
      </c>
      <c r="U311">
        <f t="shared" si="14"/>
        <v>0</v>
      </c>
    </row>
    <row r="312" spans="1:21" x14ac:dyDescent="0.3">
      <c r="A312">
        <v>1308</v>
      </c>
      <c r="B312" t="s">
        <v>396</v>
      </c>
      <c r="C312" t="s">
        <v>163</v>
      </c>
      <c r="D312" t="s">
        <v>18</v>
      </c>
      <c r="E312" s="1">
        <v>30882</v>
      </c>
      <c r="F312" s="1">
        <v>42791</v>
      </c>
      <c r="G312">
        <v>10</v>
      </c>
      <c r="H312" t="s">
        <v>49</v>
      </c>
      <c r="I312" t="s">
        <v>30</v>
      </c>
      <c r="J312" t="s">
        <v>21</v>
      </c>
      <c r="K312" t="s">
        <v>22</v>
      </c>
      <c r="L312" s="15">
        <v>9150</v>
      </c>
      <c r="M312" t="s">
        <v>32</v>
      </c>
      <c r="P312" t="s">
        <v>473</v>
      </c>
      <c r="Q312" t="str">
        <f>_xlfn.XLOOKUP(angajati__2[[#This Row],[id_departament]],departamente!A:A,departamente!B:B)</f>
        <v>IT</v>
      </c>
      <c r="R312">
        <f t="shared" si="12"/>
        <v>41</v>
      </c>
      <c r="S312">
        <f t="shared" si="13"/>
        <v>8.8000000000000007</v>
      </c>
      <c r="T312" t="str" cm="1">
        <f t="array" ref="T312">_xlfn.IFS(
    S312&lt;1, "&lt; 1 an",
    S312&lt;3, "1–3 ani",
    S312&lt;5, "3–5 ani",
    S312&gt;=5, "&gt; 5 ani"
)</f>
        <v>&gt; 5 ani</v>
      </c>
      <c r="U312">
        <f t="shared" si="14"/>
        <v>0</v>
      </c>
    </row>
    <row r="313" spans="1:21" x14ac:dyDescent="0.3">
      <c r="A313">
        <v>1324</v>
      </c>
      <c r="B313" t="s">
        <v>42</v>
      </c>
      <c r="C313" t="s">
        <v>65</v>
      </c>
      <c r="D313" t="s">
        <v>18</v>
      </c>
      <c r="E313" s="1">
        <v>36109</v>
      </c>
      <c r="F313" s="1">
        <v>44918</v>
      </c>
      <c r="G313">
        <v>80</v>
      </c>
      <c r="H313" t="s">
        <v>159</v>
      </c>
      <c r="I313" t="s">
        <v>30</v>
      </c>
      <c r="J313" t="s">
        <v>21</v>
      </c>
      <c r="K313" t="s">
        <v>22</v>
      </c>
      <c r="L313" s="15">
        <v>6600</v>
      </c>
      <c r="M313" t="s">
        <v>23</v>
      </c>
      <c r="N313" s="1">
        <v>45662</v>
      </c>
      <c r="O313" t="s">
        <v>117</v>
      </c>
      <c r="P313" t="s">
        <v>474</v>
      </c>
      <c r="Q313" t="str">
        <f>_xlfn.XLOOKUP(angajati__2[[#This Row],[id_departament]],departamente!A:A,departamente!B:B)</f>
        <v>Juridic</v>
      </c>
      <c r="R313">
        <f t="shared" si="12"/>
        <v>27</v>
      </c>
      <c r="S313">
        <f t="shared" si="13"/>
        <v>2</v>
      </c>
      <c r="T313" t="str" cm="1">
        <f t="array" ref="T313">_xlfn.IFS(
    S313&lt;1, "&lt; 1 an",
    S313&lt;3, "1–3 ani",
    S313&lt;5, "3–5 ani",
    S313&gt;=5, "&gt; 5 ani"
)</f>
        <v>1–3 ani</v>
      </c>
      <c r="U313">
        <f t="shared" si="14"/>
        <v>1</v>
      </c>
    </row>
    <row r="314" spans="1:21" x14ac:dyDescent="0.3">
      <c r="A314">
        <v>1354</v>
      </c>
      <c r="B314" t="s">
        <v>136</v>
      </c>
      <c r="C314" t="s">
        <v>171</v>
      </c>
      <c r="D314" t="s">
        <v>18</v>
      </c>
      <c r="E314" s="1">
        <v>31930</v>
      </c>
      <c r="F314" s="1">
        <v>44454</v>
      </c>
      <c r="G314">
        <v>40</v>
      </c>
      <c r="H314" t="s">
        <v>120</v>
      </c>
      <c r="I314" t="s">
        <v>45</v>
      </c>
      <c r="J314" t="s">
        <v>21</v>
      </c>
      <c r="K314" t="s">
        <v>22</v>
      </c>
      <c r="L314" s="15">
        <v>4400</v>
      </c>
      <c r="M314" t="s">
        <v>32</v>
      </c>
      <c r="P314" t="s">
        <v>475</v>
      </c>
      <c r="Q314" t="str">
        <f>_xlfn.XLOOKUP(angajati__2[[#This Row],[id_departament]],departamente!A:A,departamente!B:B)</f>
        <v>Resurse Umane</v>
      </c>
      <c r="R314">
        <f t="shared" si="12"/>
        <v>38</v>
      </c>
      <c r="S314">
        <f t="shared" si="13"/>
        <v>4.3</v>
      </c>
      <c r="T314" t="str" cm="1">
        <f t="array" ref="T314">_xlfn.IFS(
    S314&lt;1, "&lt; 1 an",
    S314&lt;3, "1–3 ani",
    S314&lt;5, "3–5 ani",
    S314&gt;=5, "&gt; 5 ani"
)</f>
        <v>3–5 ani</v>
      </c>
      <c r="U314">
        <f t="shared" si="14"/>
        <v>0</v>
      </c>
    </row>
    <row r="315" spans="1:21" x14ac:dyDescent="0.3">
      <c r="A315">
        <v>1040</v>
      </c>
      <c r="B315" t="s">
        <v>67</v>
      </c>
      <c r="C315" t="s">
        <v>171</v>
      </c>
      <c r="D315" t="s">
        <v>18</v>
      </c>
      <c r="E315" s="1">
        <v>31144</v>
      </c>
      <c r="F315" s="1">
        <v>44663</v>
      </c>
      <c r="G315">
        <v>60</v>
      </c>
      <c r="H315" t="s">
        <v>29</v>
      </c>
      <c r="I315" t="s">
        <v>30</v>
      </c>
      <c r="J315" t="s">
        <v>52</v>
      </c>
      <c r="K315" t="s">
        <v>22</v>
      </c>
      <c r="L315" s="15">
        <v>4500</v>
      </c>
      <c r="M315" t="s">
        <v>32</v>
      </c>
      <c r="P315" t="s">
        <v>476</v>
      </c>
      <c r="Q315" t="str">
        <f>_xlfn.XLOOKUP(angajati__2[[#This Row],[id_departament]],departamente!A:A,departamente!B:B)</f>
        <v>Suport Clienți</v>
      </c>
      <c r="R315">
        <f t="shared" si="12"/>
        <v>40</v>
      </c>
      <c r="S315">
        <f t="shared" si="13"/>
        <v>3.7</v>
      </c>
      <c r="T315" t="str" cm="1">
        <f t="array" ref="T315">_xlfn.IFS(
    S315&lt;1, "&lt; 1 an",
    S315&lt;3, "1–3 ani",
    S315&lt;5, "3–5 ani",
    S315&gt;=5, "&gt; 5 ani"
)</f>
        <v>3–5 ani</v>
      </c>
      <c r="U315">
        <f t="shared" si="14"/>
        <v>0</v>
      </c>
    </row>
    <row r="316" spans="1:21" x14ac:dyDescent="0.3">
      <c r="A316">
        <v>1087</v>
      </c>
      <c r="B316" t="s">
        <v>396</v>
      </c>
      <c r="C316" t="s">
        <v>198</v>
      </c>
      <c r="D316" t="s">
        <v>18</v>
      </c>
      <c r="E316" s="1">
        <v>29207</v>
      </c>
      <c r="F316" s="1">
        <v>44850</v>
      </c>
      <c r="G316">
        <v>10</v>
      </c>
      <c r="H316" t="s">
        <v>87</v>
      </c>
      <c r="I316" t="s">
        <v>30</v>
      </c>
      <c r="J316" t="s">
        <v>31</v>
      </c>
      <c r="K316" t="s">
        <v>22</v>
      </c>
      <c r="L316" s="15">
        <v>8250</v>
      </c>
      <c r="M316" t="s">
        <v>32</v>
      </c>
      <c r="P316" t="s">
        <v>477</v>
      </c>
      <c r="Q316" t="str">
        <f>_xlfn.XLOOKUP(angajati__2[[#This Row],[id_departament]],departamente!A:A,departamente!B:B)</f>
        <v>IT</v>
      </c>
      <c r="R316">
        <f t="shared" si="12"/>
        <v>46</v>
      </c>
      <c r="S316">
        <f t="shared" si="13"/>
        <v>3.2</v>
      </c>
      <c r="T316" t="str" cm="1">
        <f t="array" ref="T316">_xlfn.IFS(
    S316&lt;1, "&lt; 1 an",
    S316&lt;3, "1–3 ani",
    S316&lt;5, "3–5 ani",
    S316&gt;=5, "&gt; 5 ani"
)</f>
        <v>3–5 ani</v>
      </c>
      <c r="U316">
        <f t="shared" si="14"/>
        <v>0</v>
      </c>
    </row>
    <row r="317" spans="1:21" x14ac:dyDescent="0.3">
      <c r="A317">
        <v>1182</v>
      </c>
      <c r="B317" t="s">
        <v>94</v>
      </c>
      <c r="C317" t="s">
        <v>140</v>
      </c>
      <c r="D317" t="s">
        <v>37</v>
      </c>
      <c r="E317" s="1">
        <v>35652</v>
      </c>
      <c r="F317" s="1">
        <v>43067</v>
      </c>
      <c r="G317">
        <v>20</v>
      </c>
      <c r="H317" t="s">
        <v>104</v>
      </c>
      <c r="I317" t="s">
        <v>45</v>
      </c>
      <c r="J317" t="s">
        <v>21</v>
      </c>
      <c r="K317" t="s">
        <v>22</v>
      </c>
      <c r="L317" s="15">
        <v>3550</v>
      </c>
      <c r="M317" t="s">
        <v>32</v>
      </c>
      <c r="P317" t="s">
        <v>478</v>
      </c>
      <c r="Q317" t="str">
        <f>_xlfn.XLOOKUP(angajati__2[[#This Row],[id_departament]],departamente!A:A,departamente!B:B)</f>
        <v>Vânzări</v>
      </c>
      <c r="R317">
        <f t="shared" si="12"/>
        <v>28</v>
      </c>
      <c r="S317">
        <f t="shared" si="13"/>
        <v>8.1</v>
      </c>
      <c r="T317" t="str" cm="1">
        <f t="array" ref="T317">_xlfn.IFS(
    S317&lt;1, "&lt; 1 an",
    S317&lt;3, "1–3 ani",
    S317&lt;5, "3–5 ani",
    S317&gt;=5, "&gt; 5 ani"
)</f>
        <v>&gt; 5 ani</v>
      </c>
      <c r="U317">
        <f t="shared" si="14"/>
        <v>0</v>
      </c>
    </row>
    <row r="318" spans="1:21" x14ac:dyDescent="0.3">
      <c r="A318">
        <v>1449</v>
      </c>
      <c r="B318" t="s">
        <v>125</v>
      </c>
      <c r="C318" t="s">
        <v>98</v>
      </c>
      <c r="D318" t="s">
        <v>37</v>
      </c>
      <c r="E318" s="1">
        <v>31144</v>
      </c>
      <c r="F318" s="1">
        <v>45342</v>
      </c>
      <c r="G318">
        <v>20</v>
      </c>
      <c r="H318" t="s">
        <v>104</v>
      </c>
      <c r="I318" t="s">
        <v>39</v>
      </c>
      <c r="J318" t="s">
        <v>21</v>
      </c>
      <c r="K318" t="s">
        <v>22</v>
      </c>
      <c r="L318" s="15">
        <v>6700</v>
      </c>
      <c r="M318" t="s">
        <v>32</v>
      </c>
      <c r="P318" t="s">
        <v>479</v>
      </c>
      <c r="Q318" t="str">
        <f>_xlfn.XLOOKUP(angajati__2[[#This Row],[id_departament]],departamente!A:A,departamente!B:B)</f>
        <v>Vânzări</v>
      </c>
      <c r="R318">
        <f t="shared" si="12"/>
        <v>40</v>
      </c>
      <c r="S318">
        <f t="shared" si="13"/>
        <v>1.9</v>
      </c>
      <c r="T318" t="str" cm="1">
        <f t="array" ref="T318">_xlfn.IFS(
    S318&lt;1, "&lt; 1 an",
    S318&lt;3, "1–3 ani",
    S318&lt;5, "3–5 ani",
    S318&gt;=5, "&gt; 5 ani"
)</f>
        <v>1–3 ani</v>
      </c>
      <c r="U318">
        <f t="shared" si="14"/>
        <v>0</v>
      </c>
    </row>
    <row r="319" spans="1:21" x14ac:dyDescent="0.3">
      <c r="A319">
        <v>1146</v>
      </c>
      <c r="B319" t="s">
        <v>100</v>
      </c>
      <c r="C319" t="s">
        <v>119</v>
      </c>
      <c r="D319" t="s">
        <v>18</v>
      </c>
      <c r="E319" s="1">
        <v>36446</v>
      </c>
      <c r="F319" s="1">
        <v>44527</v>
      </c>
      <c r="G319">
        <v>60</v>
      </c>
      <c r="H319" t="s">
        <v>29</v>
      </c>
      <c r="I319" t="s">
        <v>30</v>
      </c>
      <c r="J319" t="s">
        <v>52</v>
      </c>
      <c r="K319" t="s">
        <v>22</v>
      </c>
      <c r="L319" s="15">
        <v>4000</v>
      </c>
      <c r="M319" t="s">
        <v>23</v>
      </c>
      <c r="N319" s="1">
        <v>45804</v>
      </c>
      <c r="O319" t="s">
        <v>24</v>
      </c>
      <c r="P319" t="s">
        <v>480</v>
      </c>
      <c r="Q319" t="str">
        <f>_xlfn.XLOOKUP(angajati__2[[#This Row],[id_departament]],departamente!A:A,departamente!B:B)</f>
        <v>Suport Clienți</v>
      </c>
      <c r="R319">
        <f t="shared" si="12"/>
        <v>26</v>
      </c>
      <c r="S319">
        <f t="shared" si="13"/>
        <v>3.5</v>
      </c>
      <c r="T319" t="str" cm="1">
        <f t="array" ref="T319">_xlfn.IFS(
    S319&lt;1, "&lt; 1 an",
    S319&lt;3, "1–3 ani",
    S319&lt;5, "3–5 ani",
    S319&gt;=5, "&gt; 5 ani"
)</f>
        <v>3–5 ani</v>
      </c>
      <c r="U319">
        <f t="shared" si="14"/>
        <v>1</v>
      </c>
    </row>
    <row r="320" spans="1:21" x14ac:dyDescent="0.3">
      <c r="A320">
        <v>1159</v>
      </c>
      <c r="B320" t="s">
        <v>100</v>
      </c>
      <c r="C320" t="s">
        <v>163</v>
      </c>
      <c r="D320" t="s">
        <v>18</v>
      </c>
      <c r="E320" s="1">
        <v>33923</v>
      </c>
      <c r="F320" s="1">
        <v>42635</v>
      </c>
      <c r="G320">
        <v>60</v>
      </c>
      <c r="H320" t="s">
        <v>78</v>
      </c>
      <c r="I320" t="s">
        <v>39</v>
      </c>
      <c r="J320" t="s">
        <v>52</v>
      </c>
      <c r="K320" t="s">
        <v>22</v>
      </c>
      <c r="L320" s="15">
        <v>5850</v>
      </c>
      <c r="M320" t="s">
        <v>23</v>
      </c>
      <c r="N320" s="1">
        <v>44282</v>
      </c>
      <c r="O320" t="s">
        <v>105</v>
      </c>
      <c r="P320" t="s">
        <v>481</v>
      </c>
      <c r="Q320" t="str">
        <f>_xlfn.XLOOKUP(angajati__2[[#This Row],[id_departament]],departamente!A:A,departamente!B:B)</f>
        <v>Suport Clienți</v>
      </c>
      <c r="R320">
        <f t="shared" si="12"/>
        <v>33</v>
      </c>
      <c r="S320">
        <f t="shared" si="13"/>
        <v>4.5</v>
      </c>
      <c r="T320" t="str" cm="1">
        <f t="array" ref="T320">_xlfn.IFS(
    S320&lt;1, "&lt; 1 an",
    S320&lt;3, "1–3 ani",
    S320&lt;5, "3–5 ani",
    S320&gt;=5, "&gt; 5 ani"
)</f>
        <v>3–5 ani</v>
      </c>
      <c r="U320">
        <f t="shared" si="14"/>
        <v>1</v>
      </c>
    </row>
    <row r="321" spans="1:21" x14ac:dyDescent="0.3">
      <c r="A321">
        <v>1472</v>
      </c>
      <c r="B321" t="s">
        <v>67</v>
      </c>
      <c r="C321" t="s">
        <v>119</v>
      </c>
      <c r="D321" t="s">
        <v>18</v>
      </c>
      <c r="E321" s="1">
        <v>30551</v>
      </c>
      <c r="F321" s="1">
        <v>44109</v>
      </c>
      <c r="G321">
        <v>60</v>
      </c>
      <c r="H321" t="s">
        <v>29</v>
      </c>
      <c r="I321" t="s">
        <v>39</v>
      </c>
      <c r="J321" t="s">
        <v>52</v>
      </c>
      <c r="K321" t="s">
        <v>22</v>
      </c>
      <c r="L321" s="15">
        <v>6400</v>
      </c>
      <c r="M321" t="s">
        <v>32</v>
      </c>
      <c r="P321" t="s">
        <v>483</v>
      </c>
      <c r="Q321" t="str">
        <f>_xlfn.XLOOKUP(angajati__2[[#This Row],[id_departament]],departamente!A:A,departamente!B:B)</f>
        <v>Suport Clienți</v>
      </c>
      <c r="R321">
        <f t="shared" si="12"/>
        <v>42</v>
      </c>
      <c r="S321">
        <f t="shared" si="13"/>
        <v>5.2</v>
      </c>
      <c r="T321" t="str" cm="1">
        <f t="array" ref="T321">_xlfn.IFS(
    S321&lt;1, "&lt; 1 an",
    S321&lt;3, "1–3 ani",
    S321&lt;5, "3–5 ani",
    S321&gt;=5, "&gt; 5 ani"
)</f>
        <v>&gt; 5 ani</v>
      </c>
      <c r="U321">
        <f t="shared" si="14"/>
        <v>0</v>
      </c>
    </row>
    <row r="322" spans="1:21" x14ac:dyDescent="0.3">
      <c r="A322">
        <v>1360</v>
      </c>
      <c r="B322" t="s">
        <v>85</v>
      </c>
      <c r="C322" t="s">
        <v>140</v>
      </c>
      <c r="D322" t="s">
        <v>37</v>
      </c>
      <c r="E322" s="1">
        <v>35486</v>
      </c>
      <c r="F322" s="1">
        <v>43344</v>
      </c>
      <c r="G322">
        <v>20</v>
      </c>
      <c r="H322" t="s">
        <v>104</v>
      </c>
      <c r="I322" t="s">
        <v>45</v>
      </c>
      <c r="J322" t="s">
        <v>21</v>
      </c>
      <c r="K322" t="s">
        <v>22</v>
      </c>
      <c r="L322" s="15">
        <v>3750</v>
      </c>
      <c r="M322" t="s">
        <v>32</v>
      </c>
      <c r="P322" t="s">
        <v>484</v>
      </c>
      <c r="Q322" t="str">
        <f>_xlfn.XLOOKUP(angajati__2[[#This Row],[id_departament]],departamente!A:A,departamente!B:B)</f>
        <v>Vânzări</v>
      </c>
      <c r="R322">
        <f t="shared" ref="R322:R385" si="15">DATEDIF(E322,DATE(2025,12,31), "y")</f>
        <v>28</v>
      </c>
      <c r="S322">
        <f t="shared" ref="S322:S385" si="16">ROUND(YEARFRAC(F322, IF(M322="Plecat", N322, DATE(2025,12,31)), 1), 1)</f>
        <v>7.3</v>
      </c>
      <c r="T322" t="str" cm="1">
        <f t="array" ref="T322">_xlfn.IFS(
    S322&lt;1, "&lt; 1 an",
    S322&lt;3, "1–3 ani",
    S322&lt;5, "3–5 ani",
    S322&gt;=5, "&gt; 5 ani"
)</f>
        <v>&gt; 5 ani</v>
      </c>
      <c r="U322">
        <f t="shared" ref="U322:U385" si="17">IF(M322="Plecat", 1, 0)</f>
        <v>0</v>
      </c>
    </row>
    <row r="323" spans="1:21" x14ac:dyDescent="0.3">
      <c r="A323">
        <v>1460</v>
      </c>
      <c r="B323" t="s">
        <v>112</v>
      </c>
      <c r="C323" t="s">
        <v>194</v>
      </c>
      <c r="D323" t="s">
        <v>37</v>
      </c>
      <c r="E323" s="1">
        <v>26528</v>
      </c>
      <c r="F323" s="1">
        <v>44696</v>
      </c>
      <c r="G323">
        <v>70</v>
      </c>
      <c r="H323" t="s">
        <v>116</v>
      </c>
      <c r="I323" t="s">
        <v>39</v>
      </c>
      <c r="J323" t="s">
        <v>31</v>
      </c>
      <c r="K323" t="s">
        <v>22</v>
      </c>
      <c r="L323" s="15">
        <v>7550</v>
      </c>
      <c r="M323" t="s">
        <v>32</v>
      </c>
      <c r="P323" t="s">
        <v>485</v>
      </c>
      <c r="Q323" t="str">
        <f>_xlfn.XLOOKUP(angajati__2[[#This Row],[id_departament]],departamente!A:A,departamente!B:B)</f>
        <v>Operațiuni</v>
      </c>
      <c r="R323">
        <f t="shared" si="15"/>
        <v>53</v>
      </c>
      <c r="S323">
        <f t="shared" si="16"/>
        <v>3.6</v>
      </c>
      <c r="T323" t="str" cm="1">
        <f t="array" ref="T323">_xlfn.IFS(
    S323&lt;1, "&lt; 1 an",
    S323&lt;3, "1–3 ani",
    S323&lt;5, "3–5 ani",
    S323&gt;=5, "&gt; 5 ani"
)</f>
        <v>3–5 ani</v>
      </c>
      <c r="U323">
        <f t="shared" si="17"/>
        <v>0</v>
      </c>
    </row>
    <row r="324" spans="1:21" x14ac:dyDescent="0.3">
      <c r="A324">
        <v>1344</v>
      </c>
      <c r="B324" t="s">
        <v>100</v>
      </c>
      <c r="C324" t="s">
        <v>81</v>
      </c>
      <c r="D324" t="s">
        <v>37</v>
      </c>
      <c r="E324" s="1">
        <v>31348</v>
      </c>
      <c r="F324" s="1">
        <v>44270</v>
      </c>
      <c r="G324">
        <v>70</v>
      </c>
      <c r="H324" t="s">
        <v>116</v>
      </c>
      <c r="I324" t="s">
        <v>30</v>
      </c>
      <c r="J324" t="s">
        <v>31</v>
      </c>
      <c r="K324" t="s">
        <v>22</v>
      </c>
      <c r="L324" s="15">
        <v>5125</v>
      </c>
      <c r="M324" t="s">
        <v>23</v>
      </c>
      <c r="N324" s="1">
        <v>45736</v>
      </c>
      <c r="O324" t="s">
        <v>105</v>
      </c>
      <c r="P324" t="s">
        <v>486</v>
      </c>
      <c r="Q324" t="str">
        <f>_xlfn.XLOOKUP(angajati__2[[#This Row],[id_departament]],departamente!A:A,departamente!B:B)</f>
        <v>Operațiuni</v>
      </c>
      <c r="R324">
        <f t="shared" si="15"/>
        <v>40</v>
      </c>
      <c r="S324">
        <f t="shared" si="16"/>
        <v>4</v>
      </c>
      <c r="T324" t="str" cm="1">
        <f t="array" ref="T324">_xlfn.IFS(
    S324&lt;1, "&lt; 1 an",
    S324&lt;3, "1–3 ani",
    S324&lt;5, "3–5 ani",
    S324&gt;=5, "&gt; 5 ani"
)</f>
        <v>3–5 ani</v>
      </c>
      <c r="U324">
        <f t="shared" si="17"/>
        <v>1</v>
      </c>
    </row>
    <row r="325" spans="1:21" x14ac:dyDescent="0.3">
      <c r="A325">
        <v>1201</v>
      </c>
      <c r="B325" t="s">
        <v>112</v>
      </c>
      <c r="C325" t="s">
        <v>119</v>
      </c>
      <c r="D325" t="s">
        <v>18</v>
      </c>
      <c r="E325" s="1">
        <v>35472</v>
      </c>
      <c r="F325" s="1">
        <v>43700</v>
      </c>
      <c r="G325">
        <v>10</v>
      </c>
      <c r="H325" t="s">
        <v>44</v>
      </c>
      <c r="I325" t="s">
        <v>45</v>
      </c>
      <c r="J325" t="s">
        <v>21</v>
      </c>
      <c r="K325" t="s">
        <v>22</v>
      </c>
      <c r="L325" s="15">
        <v>5750</v>
      </c>
      <c r="M325" t="s">
        <v>32</v>
      </c>
      <c r="P325" t="s">
        <v>487</v>
      </c>
      <c r="Q325" t="str">
        <f>_xlfn.XLOOKUP(angajati__2[[#This Row],[id_departament]],departamente!A:A,departamente!B:B)</f>
        <v>IT</v>
      </c>
      <c r="R325">
        <f t="shared" si="15"/>
        <v>28</v>
      </c>
      <c r="S325">
        <f t="shared" si="16"/>
        <v>6.4</v>
      </c>
      <c r="T325" t="str" cm="1">
        <f t="array" ref="T325">_xlfn.IFS(
    S325&lt;1, "&lt; 1 an",
    S325&lt;3, "1–3 ani",
    S325&lt;5, "3–5 ani",
    S325&gt;=5, "&gt; 5 ani"
)</f>
        <v>&gt; 5 ani</v>
      </c>
      <c r="U325">
        <f t="shared" si="17"/>
        <v>0</v>
      </c>
    </row>
    <row r="326" spans="1:21" x14ac:dyDescent="0.3">
      <c r="A326">
        <v>1293</v>
      </c>
      <c r="B326" t="s">
        <v>180</v>
      </c>
      <c r="C326" t="s">
        <v>43</v>
      </c>
      <c r="D326" t="s">
        <v>37</v>
      </c>
      <c r="E326" s="1">
        <v>35864</v>
      </c>
      <c r="F326" s="1">
        <v>43242</v>
      </c>
      <c r="G326">
        <v>10</v>
      </c>
      <c r="H326" t="s">
        <v>44</v>
      </c>
      <c r="I326" t="s">
        <v>45</v>
      </c>
      <c r="J326" t="s">
        <v>31</v>
      </c>
      <c r="K326" t="s">
        <v>22</v>
      </c>
      <c r="L326" s="15">
        <v>5450</v>
      </c>
      <c r="M326" t="s">
        <v>32</v>
      </c>
      <c r="P326" t="s">
        <v>488</v>
      </c>
      <c r="Q326" t="str">
        <f>_xlfn.XLOOKUP(angajati__2[[#This Row],[id_departament]],departamente!A:A,departamente!B:B)</f>
        <v>IT</v>
      </c>
      <c r="R326">
        <f t="shared" si="15"/>
        <v>27</v>
      </c>
      <c r="S326">
        <f t="shared" si="16"/>
        <v>7.6</v>
      </c>
      <c r="T326" t="str" cm="1">
        <f t="array" ref="T326">_xlfn.IFS(
    S326&lt;1, "&lt; 1 an",
    S326&lt;3, "1–3 ani",
    S326&lt;5, "3–5 ani",
    S326&gt;=5, "&gt; 5 ani"
)</f>
        <v>&gt; 5 ani</v>
      </c>
      <c r="U326">
        <f t="shared" si="17"/>
        <v>0</v>
      </c>
    </row>
    <row r="327" spans="1:21" x14ac:dyDescent="0.3">
      <c r="A327">
        <v>1072</v>
      </c>
      <c r="B327" t="s">
        <v>134</v>
      </c>
      <c r="C327" t="s">
        <v>126</v>
      </c>
      <c r="D327" t="s">
        <v>37</v>
      </c>
      <c r="E327" s="1">
        <v>35196</v>
      </c>
      <c r="F327" s="1">
        <v>42609</v>
      </c>
      <c r="G327">
        <v>70</v>
      </c>
      <c r="H327" t="s">
        <v>38</v>
      </c>
      <c r="I327" t="s">
        <v>30</v>
      </c>
      <c r="J327" t="s">
        <v>31</v>
      </c>
      <c r="K327" t="s">
        <v>22</v>
      </c>
      <c r="L327" s="15">
        <v>5350</v>
      </c>
      <c r="M327" t="s">
        <v>32</v>
      </c>
      <c r="P327" t="s">
        <v>489</v>
      </c>
      <c r="Q327" t="str">
        <f>_xlfn.XLOOKUP(angajati__2[[#This Row],[id_departament]],departamente!A:A,departamente!B:B)</f>
        <v>Operațiuni</v>
      </c>
      <c r="R327">
        <f t="shared" si="15"/>
        <v>29</v>
      </c>
      <c r="S327">
        <f t="shared" si="16"/>
        <v>9.3000000000000007</v>
      </c>
      <c r="T327" t="str" cm="1">
        <f t="array" ref="T327">_xlfn.IFS(
    S327&lt;1, "&lt; 1 an",
    S327&lt;3, "1–3 ani",
    S327&lt;5, "3–5 ani",
    S327&gt;=5, "&gt; 5 ani"
)</f>
        <v>&gt; 5 ani</v>
      </c>
      <c r="U327">
        <f t="shared" si="17"/>
        <v>0</v>
      </c>
    </row>
    <row r="328" spans="1:21" x14ac:dyDescent="0.3">
      <c r="A328">
        <v>1375</v>
      </c>
      <c r="B328" t="s">
        <v>73</v>
      </c>
      <c r="C328" t="s">
        <v>128</v>
      </c>
      <c r="D328" t="s">
        <v>18</v>
      </c>
      <c r="E328" s="1">
        <v>32728</v>
      </c>
      <c r="F328" s="1">
        <v>45554</v>
      </c>
      <c r="G328">
        <v>60</v>
      </c>
      <c r="H328" t="s">
        <v>78</v>
      </c>
      <c r="I328" t="s">
        <v>45</v>
      </c>
      <c r="J328" t="s">
        <v>52</v>
      </c>
      <c r="K328" t="s">
        <v>22</v>
      </c>
      <c r="L328" s="15">
        <v>2550</v>
      </c>
      <c r="M328" t="s">
        <v>23</v>
      </c>
      <c r="N328" s="1">
        <v>45965</v>
      </c>
      <c r="O328" t="s">
        <v>105</v>
      </c>
      <c r="Q328" t="str">
        <f>_xlfn.XLOOKUP(angajati__2[[#This Row],[id_departament]],departamente!A:A,departamente!B:B)</f>
        <v>Suport Clienți</v>
      </c>
      <c r="R328">
        <f t="shared" si="15"/>
        <v>36</v>
      </c>
      <c r="S328">
        <f t="shared" si="16"/>
        <v>1.1000000000000001</v>
      </c>
      <c r="T328" t="str" cm="1">
        <f t="array" ref="T328">_xlfn.IFS(
    S328&lt;1, "&lt; 1 an",
    S328&lt;3, "1–3 ani",
    S328&lt;5, "3–5 ani",
    S328&gt;=5, "&gt; 5 ani"
)</f>
        <v>1–3 ani</v>
      </c>
      <c r="U328">
        <f t="shared" si="17"/>
        <v>1</v>
      </c>
    </row>
    <row r="329" spans="1:21" x14ac:dyDescent="0.3">
      <c r="A329">
        <v>1409</v>
      </c>
      <c r="B329" t="s">
        <v>164</v>
      </c>
      <c r="C329" t="s">
        <v>216</v>
      </c>
      <c r="D329" t="s">
        <v>18</v>
      </c>
      <c r="E329" s="1">
        <v>26749</v>
      </c>
      <c r="F329" s="1">
        <v>42933</v>
      </c>
      <c r="G329">
        <v>70</v>
      </c>
      <c r="H329" t="s">
        <v>75</v>
      </c>
      <c r="I329" t="s">
        <v>20</v>
      </c>
      <c r="J329" t="s">
        <v>31</v>
      </c>
      <c r="K329" t="s">
        <v>22</v>
      </c>
      <c r="L329" s="15">
        <v>8700</v>
      </c>
      <c r="M329" t="s">
        <v>32</v>
      </c>
      <c r="P329" t="s">
        <v>490</v>
      </c>
      <c r="Q329" t="str">
        <f>_xlfn.XLOOKUP(angajati__2[[#This Row],[id_departament]],departamente!A:A,departamente!B:B)</f>
        <v>Operațiuni</v>
      </c>
      <c r="R329">
        <f t="shared" si="15"/>
        <v>52</v>
      </c>
      <c r="S329">
        <f t="shared" si="16"/>
        <v>8.5</v>
      </c>
      <c r="T329" t="str" cm="1">
        <f t="array" ref="T329">_xlfn.IFS(
    S329&lt;1, "&lt; 1 an",
    S329&lt;3, "1–3 ani",
    S329&lt;5, "3–5 ani",
    S329&gt;=5, "&gt; 5 ani"
)</f>
        <v>&gt; 5 ani</v>
      </c>
      <c r="U329">
        <f t="shared" si="17"/>
        <v>0</v>
      </c>
    </row>
    <row r="330" spans="1:21" x14ac:dyDescent="0.3">
      <c r="A330">
        <v>1357</v>
      </c>
      <c r="B330" t="s">
        <v>64</v>
      </c>
      <c r="C330" t="s">
        <v>171</v>
      </c>
      <c r="D330" t="s">
        <v>18</v>
      </c>
      <c r="E330" s="1">
        <v>28718</v>
      </c>
      <c r="F330" s="1">
        <v>43336</v>
      </c>
      <c r="G330">
        <v>10</v>
      </c>
      <c r="H330" t="s">
        <v>108</v>
      </c>
      <c r="I330" t="s">
        <v>30</v>
      </c>
      <c r="J330" t="s">
        <v>21</v>
      </c>
      <c r="K330" t="s">
        <v>22</v>
      </c>
      <c r="L330" s="15">
        <v>8750</v>
      </c>
      <c r="M330" t="s">
        <v>32</v>
      </c>
      <c r="P330" t="s">
        <v>491</v>
      </c>
      <c r="Q330" t="str">
        <f>_xlfn.XLOOKUP(angajati__2[[#This Row],[id_departament]],departamente!A:A,departamente!B:B)</f>
        <v>IT</v>
      </c>
      <c r="R330">
        <f t="shared" si="15"/>
        <v>47</v>
      </c>
      <c r="S330">
        <f t="shared" si="16"/>
        <v>7.4</v>
      </c>
      <c r="T330" t="str" cm="1">
        <f t="array" ref="T330">_xlfn.IFS(
    S330&lt;1, "&lt; 1 an",
    S330&lt;3, "1–3 ani",
    S330&lt;5, "3–5 ani",
    S330&gt;=5, "&gt; 5 ani"
)</f>
        <v>&gt; 5 ani</v>
      </c>
      <c r="U330">
        <f t="shared" si="17"/>
        <v>0</v>
      </c>
    </row>
    <row r="331" spans="1:21" x14ac:dyDescent="0.3">
      <c r="A331">
        <v>1386</v>
      </c>
      <c r="B331" t="s">
        <v>204</v>
      </c>
      <c r="C331" t="s">
        <v>81</v>
      </c>
      <c r="D331" t="s">
        <v>37</v>
      </c>
      <c r="E331" s="1">
        <v>29630</v>
      </c>
      <c r="F331" s="1">
        <v>45303</v>
      </c>
      <c r="G331">
        <v>40</v>
      </c>
      <c r="H331" t="s">
        <v>492</v>
      </c>
      <c r="I331" t="s">
        <v>20</v>
      </c>
      <c r="J331" t="s">
        <v>46</v>
      </c>
      <c r="K331" t="s">
        <v>22</v>
      </c>
      <c r="L331" s="15">
        <v>11200</v>
      </c>
      <c r="M331" t="s">
        <v>32</v>
      </c>
      <c r="P331" t="s">
        <v>493</v>
      </c>
      <c r="Q331" t="str">
        <f>_xlfn.XLOOKUP(angajati__2[[#This Row],[id_departament]],departamente!A:A,departamente!B:B)</f>
        <v>Resurse Umane</v>
      </c>
      <c r="R331">
        <f t="shared" si="15"/>
        <v>44</v>
      </c>
      <c r="S331">
        <f t="shared" si="16"/>
        <v>2</v>
      </c>
      <c r="T331" t="str" cm="1">
        <f t="array" ref="T331">_xlfn.IFS(
    S331&lt;1, "&lt; 1 an",
    S331&lt;3, "1–3 ani",
    S331&lt;5, "3–5 ani",
    S331&gt;=5, "&gt; 5 ani"
)</f>
        <v>1–3 ani</v>
      </c>
      <c r="U331">
        <f t="shared" si="17"/>
        <v>0</v>
      </c>
    </row>
    <row r="332" spans="1:21" x14ac:dyDescent="0.3">
      <c r="A332">
        <v>1470</v>
      </c>
      <c r="B332" t="s">
        <v>67</v>
      </c>
      <c r="C332" t="s">
        <v>65</v>
      </c>
      <c r="D332" t="s">
        <v>18</v>
      </c>
      <c r="E332" s="1">
        <v>29271</v>
      </c>
      <c r="F332" s="1">
        <v>45055</v>
      </c>
      <c r="G332">
        <v>70</v>
      </c>
      <c r="H332" t="s">
        <v>116</v>
      </c>
      <c r="I332" t="s">
        <v>30</v>
      </c>
      <c r="J332" t="s">
        <v>31</v>
      </c>
      <c r="K332" t="s">
        <v>22</v>
      </c>
      <c r="L332" s="15">
        <v>5125</v>
      </c>
      <c r="M332" t="s">
        <v>32</v>
      </c>
      <c r="P332" t="s">
        <v>494</v>
      </c>
      <c r="Q332" t="str">
        <f>_xlfn.XLOOKUP(angajati__2[[#This Row],[id_departament]],departamente!A:A,departamente!B:B)</f>
        <v>Operațiuni</v>
      </c>
      <c r="R332">
        <f t="shared" si="15"/>
        <v>45</v>
      </c>
      <c r="S332">
        <f t="shared" si="16"/>
        <v>2.6</v>
      </c>
      <c r="T332" t="str" cm="1">
        <f t="array" ref="T332">_xlfn.IFS(
    S332&lt;1, "&lt; 1 an",
    S332&lt;3, "1–3 ani",
    S332&lt;5, "3–5 ani",
    S332&gt;=5, "&gt; 5 ani"
)</f>
        <v>1–3 ani</v>
      </c>
      <c r="U332">
        <f t="shared" si="17"/>
        <v>0</v>
      </c>
    </row>
    <row r="333" spans="1:21" x14ac:dyDescent="0.3">
      <c r="A333">
        <v>1456</v>
      </c>
      <c r="B333" t="s">
        <v>147</v>
      </c>
      <c r="C333" t="s">
        <v>126</v>
      </c>
      <c r="D333" t="s">
        <v>37</v>
      </c>
      <c r="E333" s="1">
        <v>27777</v>
      </c>
      <c r="F333" s="1">
        <v>45328</v>
      </c>
      <c r="G333">
        <v>30</v>
      </c>
      <c r="H333" t="s">
        <v>56</v>
      </c>
      <c r="I333" t="s">
        <v>30</v>
      </c>
      <c r="J333" t="s">
        <v>46</v>
      </c>
      <c r="K333" t="s">
        <v>22</v>
      </c>
      <c r="L333" s="15">
        <v>5550</v>
      </c>
      <c r="M333" t="s">
        <v>32</v>
      </c>
      <c r="P333" t="s">
        <v>495</v>
      </c>
      <c r="Q333" t="str">
        <f>_xlfn.XLOOKUP(angajati__2[[#This Row],[id_departament]],departamente!A:A,departamente!B:B)</f>
        <v>Marketing</v>
      </c>
      <c r="R333">
        <f t="shared" si="15"/>
        <v>49</v>
      </c>
      <c r="S333">
        <f t="shared" si="16"/>
        <v>1.9</v>
      </c>
      <c r="T333" t="str" cm="1">
        <f t="array" ref="T333">_xlfn.IFS(
    S333&lt;1, "&lt; 1 an",
    S333&lt;3, "1–3 ani",
    S333&lt;5, "3–5 ani",
    S333&gt;=5, "&gt; 5 ani"
)</f>
        <v>1–3 ani</v>
      </c>
      <c r="U333">
        <f t="shared" si="17"/>
        <v>0</v>
      </c>
    </row>
    <row r="334" spans="1:21" x14ac:dyDescent="0.3">
      <c r="A334">
        <v>1421</v>
      </c>
      <c r="B334" t="s">
        <v>150</v>
      </c>
      <c r="C334" t="s">
        <v>27</v>
      </c>
      <c r="D334" t="s">
        <v>37</v>
      </c>
      <c r="E334" s="1">
        <v>34687</v>
      </c>
      <c r="F334" s="1">
        <v>44759</v>
      </c>
      <c r="G334">
        <v>10</v>
      </c>
      <c r="H334" t="s">
        <v>49</v>
      </c>
      <c r="I334" t="s">
        <v>39</v>
      </c>
      <c r="J334" t="s">
        <v>21</v>
      </c>
      <c r="K334" t="s">
        <v>22</v>
      </c>
      <c r="L334" s="15">
        <v>14650</v>
      </c>
      <c r="M334" t="s">
        <v>32</v>
      </c>
      <c r="P334" t="s">
        <v>496</v>
      </c>
      <c r="Q334" t="str">
        <f>_xlfn.XLOOKUP(angajati__2[[#This Row],[id_departament]],departamente!A:A,departamente!B:B)</f>
        <v>IT</v>
      </c>
      <c r="R334">
        <f t="shared" si="15"/>
        <v>31</v>
      </c>
      <c r="S334">
        <f t="shared" si="16"/>
        <v>3.5</v>
      </c>
      <c r="T334" t="str" cm="1">
        <f t="array" ref="T334">_xlfn.IFS(
    S334&lt;1, "&lt; 1 an",
    S334&lt;3, "1–3 ani",
    S334&lt;5, "3–5 ani",
    S334&gt;=5, "&gt; 5 ani"
)</f>
        <v>3–5 ani</v>
      </c>
      <c r="U334">
        <f t="shared" si="17"/>
        <v>0</v>
      </c>
    </row>
    <row r="335" spans="1:21" x14ac:dyDescent="0.3">
      <c r="A335">
        <v>1134</v>
      </c>
      <c r="B335" t="s">
        <v>89</v>
      </c>
      <c r="C335" t="s">
        <v>266</v>
      </c>
      <c r="D335" t="s">
        <v>37</v>
      </c>
      <c r="E335" s="1">
        <v>34318</v>
      </c>
      <c r="F335" s="1">
        <v>43271</v>
      </c>
      <c r="G335">
        <v>20</v>
      </c>
      <c r="H335" t="s">
        <v>68</v>
      </c>
      <c r="I335" t="s">
        <v>45</v>
      </c>
      <c r="J335" t="s">
        <v>21</v>
      </c>
      <c r="K335" t="s">
        <v>22</v>
      </c>
      <c r="L335" s="15">
        <v>4950</v>
      </c>
      <c r="M335" t="s">
        <v>32</v>
      </c>
      <c r="P335" t="s">
        <v>497</v>
      </c>
      <c r="Q335" t="str">
        <f>_xlfn.XLOOKUP(angajati__2[[#This Row],[id_departament]],departamente!A:A,departamente!B:B)</f>
        <v>Vânzări</v>
      </c>
      <c r="R335">
        <f t="shared" si="15"/>
        <v>32</v>
      </c>
      <c r="S335">
        <f t="shared" si="16"/>
        <v>7.5</v>
      </c>
      <c r="T335" t="str" cm="1">
        <f t="array" ref="T335">_xlfn.IFS(
    S335&lt;1, "&lt; 1 an",
    S335&lt;3, "1–3 ani",
    S335&lt;5, "3–5 ani",
    S335&gt;=5, "&gt; 5 ani"
)</f>
        <v>&gt; 5 ani</v>
      </c>
      <c r="U335">
        <f t="shared" si="17"/>
        <v>0</v>
      </c>
    </row>
    <row r="336" spans="1:21" x14ac:dyDescent="0.3">
      <c r="A336">
        <v>1061</v>
      </c>
      <c r="B336" t="s">
        <v>58</v>
      </c>
      <c r="C336" t="s">
        <v>266</v>
      </c>
      <c r="D336" t="s">
        <v>37</v>
      </c>
      <c r="E336" s="1">
        <v>31366</v>
      </c>
      <c r="F336" s="1">
        <v>43896</v>
      </c>
      <c r="G336">
        <v>20</v>
      </c>
      <c r="H336" t="s">
        <v>104</v>
      </c>
      <c r="I336" t="s">
        <v>39</v>
      </c>
      <c r="J336" t="s">
        <v>21</v>
      </c>
      <c r="K336" t="s">
        <v>22</v>
      </c>
      <c r="L336" s="15">
        <v>8850</v>
      </c>
      <c r="M336" t="s">
        <v>23</v>
      </c>
      <c r="N336" s="1">
        <v>44516</v>
      </c>
      <c r="O336" t="s">
        <v>186</v>
      </c>
      <c r="P336" t="s">
        <v>498</v>
      </c>
      <c r="Q336" t="str">
        <f>_xlfn.XLOOKUP(angajati__2[[#This Row],[id_departament]],departamente!A:A,departamente!B:B)</f>
        <v>Vânzări</v>
      </c>
      <c r="R336">
        <f t="shared" si="15"/>
        <v>40</v>
      </c>
      <c r="S336">
        <f t="shared" si="16"/>
        <v>1.7</v>
      </c>
      <c r="T336" t="str" cm="1">
        <f t="array" ref="T336">_xlfn.IFS(
    S336&lt;1, "&lt; 1 an",
    S336&lt;3, "1–3 ani",
    S336&lt;5, "3–5 ani",
    S336&gt;=5, "&gt; 5 ani"
)</f>
        <v>1–3 ani</v>
      </c>
      <c r="U336">
        <f t="shared" si="17"/>
        <v>1</v>
      </c>
    </row>
    <row r="337" spans="1:21" x14ac:dyDescent="0.3">
      <c r="A337">
        <v>1370</v>
      </c>
      <c r="B337" t="s">
        <v>164</v>
      </c>
      <c r="C337" t="s">
        <v>140</v>
      </c>
      <c r="D337" t="s">
        <v>37</v>
      </c>
      <c r="E337" s="1">
        <v>26640</v>
      </c>
      <c r="F337" s="1">
        <v>44661</v>
      </c>
      <c r="G337">
        <v>10</v>
      </c>
      <c r="H337" t="s">
        <v>108</v>
      </c>
      <c r="I337" t="s">
        <v>39</v>
      </c>
      <c r="J337" t="s">
        <v>21</v>
      </c>
      <c r="K337" t="s">
        <v>22</v>
      </c>
      <c r="L337" s="15">
        <v>12700</v>
      </c>
      <c r="M337" t="s">
        <v>32</v>
      </c>
      <c r="P337" t="s">
        <v>499</v>
      </c>
      <c r="Q337" t="str">
        <f>_xlfn.XLOOKUP(angajati__2[[#This Row],[id_departament]],departamente!A:A,departamente!B:B)</f>
        <v>IT</v>
      </c>
      <c r="R337">
        <f t="shared" si="15"/>
        <v>53</v>
      </c>
      <c r="S337">
        <f t="shared" si="16"/>
        <v>3.7</v>
      </c>
      <c r="T337" t="str" cm="1">
        <f t="array" ref="T337">_xlfn.IFS(
    S337&lt;1, "&lt; 1 an",
    S337&lt;3, "1–3 ani",
    S337&lt;5, "3–5 ani",
    S337&gt;=5, "&gt; 5 ani"
)</f>
        <v>3–5 ani</v>
      </c>
      <c r="U337">
        <f t="shared" si="17"/>
        <v>0</v>
      </c>
    </row>
    <row r="338" spans="1:21" x14ac:dyDescent="0.3">
      <c r="A338">
        <v>1471</v>
      </c>
      <c r="B338" t="s">
        <v>35</v>
      </c>
      <c r="C338" t="s">
        <v>216</v>
      </c>
      <c r="D338" t="s">
        <v>18</v>
      </c>
      <c r="E338" s="1">
        <v>30610</v>
      </c>
      <c r="F338" s="1">
        <v>43835</v>
      </c>
      <c r="G338">
        <v>30</v>
      </c>
      <c r="H338" t="s">
        <v>56</v>
      </c>
      <c r="I338" t="s">
        <v>30</v>
      </c>
      <c r="J338" t="s">
        <v>52</v>
      </c>
      <c r="K338" t="s">
        <v>22</v>
      </c>
      <c r="L338" s="15">
        <v>5700</v>
      </c>
      <c r="M338" t="s">
        <v>32</v>
      </c>
      <c r="P338" t="s">
        <v>500</v>
      </c>
      <c r="Q338" t="str">
        <f>_xlfn.XLOOKUP(angajati__2[[#This Row],[id_departament]],departamente!A:A,departamente!B:B)</f>
        <v>Marketing</v>
      </c>
      <c r="R338">
        <f t="shared" si="15"/>
        <v>42</v>
      </c>
      <c r="S338">
        <f t="shared" si="16"/>
        <v>6</v>
      </c>
      <c r="T338" t="str" cm="1">
        <f t="array" ref="T338">_xlfn.IFS(
    S338&lt;1, "&lt; 1 an",
    S338&lt;3, "1–3 ani",
    S338&lt;5, "3–5 ani",
    S338&gt;=5, "&gt; 5 ani"
)</f>
        <v>&gt; 5 ani</v>
      </c>
      <c r="U338">
        <f t="shared" si="17"/>
        <v>0</v>
      </c>
    </row>
    <row r="339" spans="1:21" x14ac:dyDescent="0.3">
      <c r="A339">
        <v>1101</v>
      </c>
      <c r="B339" t="s">
        <v>73</v>
      </c>
      <c r="C339" t="s">
        <v>110</v>
      </c>
      <c r="D339" t="s">
        <v>37</v>
      </c>
      <c r="E339" s="1">
        <v>35193</v>
      </c>
      <c r="F339" s="1">
        <v>44229</v>
      </c>
      <c r="G339">
        <v>20</v>
      </c>
      <c r="H339" t="s">
        <v>68</v>
      </c>
      <c r="I339" t="s">
        <v>45</v>
      </c>
      <c r="J339" t="s">
        <v>21</v>
      </c>
      <c r="K339" t="s">
        <v>22</v>
      </c>
      <c r="L339" s="15">
        <v>4200</v>
      </c>
      <c r="M339" t="s">
        <v>23</v>
      </c>
      <c r="N339" s="1">
        <v>44405</v>
      </c>
      <c r="O339" t="s">
        <v>687</v>
      </c>
      <c r="P339" t="s">
        <v>501</v>
      </c>
      <c r="Q339" t="str">
        <f>_xlfn.XLOOKUP(angajati__2[[#This Row],[id_departament]],departamente!A:A,departamente!B:B)</f>
        <v>Vânzări</v>
      </c>
      <c r="R339">
        <f t="shared" si="15"/>
        <v>29</v>
      </c>
      <c r="S339">
        <f t="shared" si="16"/>
        <v>0.5</v>
      </c>
      <c r="T339" t="str" cm="1">
        <f t="array" ref="T339">_xlfn.IFS(
    S339&lt;1, "&lt; 1 an",
    S339&lt;3, "1–3 ani",
    S339&lt;5, "3–5 ani",
    S339&gt;=5, "&gt; 5 ani"
)</f>
        <v>&lt; 1 an</v>
      </c>
      <c r="U339">
        <f t="shared" si="17"/>
        <v>1</v>
      </c>
    </row>
    <row r="340" spans="1:21" x14ac:dyDescent="0.3">
      <c r="A340">
        <v>1020</v>
      </c>
      <c r="B340" t="s">
        <v>134</v>
      </c>
      <c r="C340" t="s">
        <v>224</v>
      </c>
      <c r="D340" t="s">
        <v>37</v>
      </c>
      <c r="E340" s="1">
        <v>31116</v>
      </c>
      <c r="F340" s="1">
        <v>45306</v>
      </c>
      <c r="G340">
        <v>10</v>
      </c>
      <c r="H340" t="s">
        <v>44</v>
      </c>
      <c r="I340" t="s">
        <v>39</v>
      </c>
      <c r="J340" t="s">
        <v>46</v>
      </c>
      <c r="K340" t="s">
        <v>22</v>
      </c>
      <c r="L340" s="15">
        <v>11650</v>
      </c>
      <c r="M340" t="s">
        <v>32</v>
      </c>
      <c r="P340" t="s">
        <v>502</v>
      </c>
      <c r="Q340" t="str">
        <f>_xlfn.XLOOKUP(angajati__2[[#This Row],[id_departament]],departamente!A:A,departamente!B:B)</f>
        <v>IT</v>
      </c>
      <c r="R340">
        <f t="shared" si="15"/>
        <v>40</v>
      </c>
      <c r="S340">
        <f t="shared" si="16"/>
        <v>2</v>
      </c>
      <c r="T340" t="str" cm="1">
        <f t="array" ref="T340">_xlfn.IFS(
    S340&lt;1, "&lt; 1 an",
    S340&lt;3, "1–3 ani",
    S340&lt;5, "3–5 ani",
    S340&gt;=5, "&gt; 5 ani"
)</f>
        <v>1–3 ani</v>
      </c>
      <c r="U340">
        <f t="shared" si="17"/>
        <v>0</v>
      </c>
    </row>
    <row r="341" spans="1:21" x14ac:dyDescent="0.3">
      <c r="A341">
        <v>1378</v>
      </c>
      <c r="B341" t="s">
        <v>42</v>
      </c>
      <c r="C341" t="s">
        <v>131</v>
      </c>
      <c r="D341" t="s">
        <v>18</v>
      </c>
      <c r="E341" s="1">
        <v>34137</v>
      </c>
      <c r="F341" s="1">
        <v>42948</v>
      </c>
      <c r="G341">
        <v>70</v>
      </c>
      <c r="H341" t="s">
        <v>116</v>
      </c>
      <c r="I341" t="s">
        <v>30</v>
      </c>
      <c r="J341" t="s">
        <v>21</v>
      </c>
      <c r="K341" t="s">
        <v>22</v>
      </c>
      <c r="L341" s="15">
        <v>5300</v>
      </c>
      <c r="M341" t="s">
        <v>32</v>
      </c>
      <c r="P341" t="s">
        <v>503</v>
      </c>
      <c r="Q341" t="str">
        <f>_xlfn.XLOOKUP(angajati__2[[#This Row],[id_departament]],departamente!A:A,departamente!B:B)</f>
        <v>Operațiuni</v>
      </c>
      <c r="R341">
        <f t="shared" si="15"/>
        <v>32</v>
      </c>
      <c r="S341">
        <f t="shared" si="16"/>
        <v>8.4</v>
      </c>
      <c r="T341" t="str" cm="1">
        <f t="array" ref="T341">_xlfn.IFS(
    S341&lt;1, "&lt; 1 an",
    S341&lt;3, "1–3 ani",
    S341&lt;5, "3–5 ani",
    S341&gt;=5, "&gt; 5 ani"
)</f>
        <v>&gt; 5 ani</v>
      </c>
      <c r="U341">
        <f t="shared" si="17"/>
        <v>0</v>
      </c>
    </row>
    <row r="342" spans="1:21" x14ac:dyDescent="0.3">
      <c r="A342">
        <v>1455</v>
      </c>
      <c r="B342" t="s">
        <v>147</v>
      </c>
      <c r="C342" t="s">
        <v>74</v>
      </c>
      <c r="D342" t="s">
        <v>18</v>
      </c>
      <c r="E342" s="1">
        <v>33067</v>
      </c>
      <c r="F342" s="1">
        <v>44054</v>
      </c>
      <c r="G342">
        <v>50</v>
      </c>
      <c r="H342" t="s">
        <v>71</v>
      </c>
      <c r="I342" t="s">
        <v>45</v>
      </c>
      <c r="J342" t="s">
        <v>52</v>
      </c>
      <c r="K342" t="s">
        <v>22</v>
      </c>
      <c r="L342" s="15">
        <v>4900</v>
      </c>
      <c r="M342" t="s">
        <v>32</v>
      </c>
      <c r="P342" t="s">
        <v>504</v>
      </c>
      <c r="Q342" t="str">
        <f>_xlfn.XLOOKUP(angajati__2[[#This Row],[id_departament]],departamente!A:A,departamente!B:B)</f>
        <v>Financiar</v>
      </c>
      <c r="R342">
        <f t="shared" si="15"/>
        <v>35</v>
      </c>
      <c r="S342">
        <f t="shared" si="16"/>
        <v>5.4</v>
      </c>
      <c r="T342" t="str" cm="1">
        <f t="array" ref="T342">_xlfn.IFS(
    S342&lt;1, "&lt; 1 an",
    S342&lt;3, "1–3 ani",
    S342&lt;5, "3–5 ani",
    S342&gt;=5, "&gt; 5 ani"
)</f>
        <v>&gt; 5 ani</v>
      </c>
      <c r="U342">
        <f t="shared" si="17"/>
        <v>0</v>
      </c>
    </row>
    <row r="343" spans="1:21" x14ac:dyDescent="0.3">
      <c r="A343">
        <v>1265</v>
      </c>
      <c r="B343" t="s">
        <v>188</v>
      </c>
      <c r="C343" t="s">
        <v>178</v>
      </c>
      <c r="D343" t="s">
        <v>18</v>
      </c>
      <c r="E343" s="1">
        <v>33691</v>
      </c>
      <c r="F343" s="1">
        <v>43568</v>
      </c>
      <c r="G343">
        <v>40</v>
      </c>
      <c r="H343" t="s">
        <v>101</v>
      </c>
      <c r="I343" t="s">
        <v>45</v>
      </c>
      <c r="J343" t="s">
        <v>21</v>
      </c>
      <c r="K343" t="s">
        <v>22</v>
      </c>
      <c r="L343" s="15">
        <v>3450</v>
      </c>
      <c r="M343" t="s">
        <v>32</v>
      </c>
      <c r="Q343" t="str">
        <f>_xlfn.XLOOKUP(angajati__2[[#This Row],[id_departament]],departamente!A:A,departamente!B:B)</f>
        <v>Resurse Umane</v>
      </c>
      <c r="R343">
        <f t="shared" si="15"/>
        <v>33</v>
      </c>
      <c r="S343">
        <f t="shared" si="16"/>
        <v>6.7</v>
      </c>
      <c r="T343" t="str" cm="1">
        <f t="array" ref="T343">_xlfn.IFS(
    S343&lt;1, "&lt; 1 an",
    S343&lt;3, "1–3 ani",
    S343&lt;5, "3–5 ani",
    S343&gt;=5, "&gt; 5 ani"
)</f>
        <v>&gt; 5 ani</v>
      </c>
      <c r="U343">
        <f t="shared" si="17"/>
        <v>0</v>
      </c>
    </row>
    <row r="344" spans="1:21" x14ac:dyDescent="0.3">
      <c r="A344">
        <v>1277</v>
      </c>
      <c r="B344" t="s">
        <v>26</v>
      </c>
      <c r="C344" t="s">
        <v>65</v>
      </c>
      <c r="D344" t="s">
        <v>18</v>
      </c>
      <c r="E344" s="1">
        <v>27806</v>
      </c>
      <c r="F344" s="1">
        <v>42726</v>
      </c>
      <c r="G344">
        <v>40</v>
      </c>
      <c r="H344" t="s">
        <v>120</v>
      </c>
      <c r="I344" t="s">
        <v>30</v>
      </c>
      <c r="J344" t="s">
        <v>21</v>
      </c>
      <c r="K344" t="s">
        <v>22</v>
      </c>
      <c r="L344" s="15">
        <v>5500</v>
      </c>
      <c r="M344" t="s">
        <v>23</v>
      </c>
      <c r="N344" s="1">
        <v>44454</v>
      </c>
      <c r="O344" t="s">
        <v>186</v>
      </c>
      <c r="P344" t="s">
        <v>505</v>
      </c>
      <c r="Q344" t="str">
        <f>_xlfn.XLOOKUP(angajati__2[[#This Row],[id_departament]],departamente!A:A,departamente!B:B)</f>
        <v>Resurse Umane</v>
      </c>
      <c r="R344">
        <f t="shared" si="15"/>
        <v>49</v>
      </c>
      <c r="S344">
        <f t="shared" si="16"/>
        <v>4.7</v>
      </c>
      <c r="T344" t="str" cm="1">
        <f t="array" ref="T344">_xlfn.IFS(
    S344&lt;1, "&lt; 1 an",
    S344&lt;3, "1–3 ani",
    S344&lt;5, "3–5 ani",
    S344&gt;=5, "&gt; 5 ani"
)</f>
        <v>3–5 ani</v>
      </c>
      <c r="U344">
        <f t="shared" si="17"/>
        <v>1</v>
      </c>
    </row>
    <row r="345" spans="1:21" x14ac:dyDescent="0.3">
      <c r="A345">
        <v>1009</v>
      </c>
      <c r="B345" t="s">
        <v>67</v>
      </c>
      <c r="C345" t="s">
        <v>155</v>
      </c>
      <c r="D345" t="s">
        <v>37</v>
      </c>
      <c r="E345" s="1">
        <v>27140</v>
      </c>
      <c r="F345" s="1">
        <v>43302</v>
      </c>
      <c r="G345">
        <v>20</v>
      </c>
      <c r="H345" t="s">
        <v>60</v>
      </c>
      <c r="I345" t="s">
        <v>20</v>
      </c>
      <c r="J345" t="s">
        <v>21</v>
      </c>
      <c r="K345" t="s">
        <v>22</v>
      </c>
      <c r="L345" s="15">
        <v>9450</v>
      </c>
      <c r="M345" t="s">
        <v>23</v>
      </c>
      <c r="N345" s="1">
        <v>45289</v>
      </c>
      <c r="O345" t="s">
        <v>24</v>
      </c>
      <c r="P345" t="s">
        <v>506</v>
      </c>
      <c r="Q345" t="str">
        <f>_xlfn.XLOOKUP(angajati__2[[#This Row],[id_departament]],departamente!A:A,departamente!B:B)</f>
        <v>Vânzări</v>
      </c>
      <c r="R345">
        <f t="shared" si="15"/>
        <v>51</v>
      </c>
      <c r="S345">
        <f t="shared" si="16"/>
        <v>5.4</v>
      </c>
      <c r="T345" t="str" cm="1">
        <f t="array" ref="T345">_xlfn.IFS(
    S345&lt;1, "&lt; 1 an",
    S345&lt;3, "1–3 ani",
    S345&lt;5, "3–5 ani",
    S345&gt;=5, "&gt; 5 ani"
)</f>
        <v>&gt; 5 ani</v>
      </c>
      <c r="U345">
        <f t="shared" si="17"/>
        <v>1</v>
      </c>
    </row>
    <row r="346" spans="1:21" x14ac:dyDescent="0.3">
      <c r="A346">
        <v>1310</v>
      </c>
      <c r="B346" t="s">
        <v>100</v>
      </c>
      <c r="C346" t="s">
        <v>163</v>
      </c>
      <c r="D346" t="s">
        <v>18</v>
      </c>
      <c r="E346" s="1">
        <v>32074</v>
      </c>
      <c r="F346" s="1">
        <v>42884</v>
      </c>
      <c r="G346">
        <v>30</v>
      </c>
      <c r="H346" t="s">
        <v>56</v>
      </c>
      <c r="I346" t="s">
        <v>45</v>
      </c>
      <c r="J346" t="s">
        <v>21</v>
      </c>
      <c r="K346" t="s">
        <v>22</v>
      </c>
      <c r="L346" s="15">
        <v>3950</v>
      </c>
      <c r="M346" t="s">
        <v>23</v>
      </c>
      <c r="N346" s="1">
        <v>43368</v>
      </c>
      <c r="O346" t="s">
        <v>186</v>
      </c>
      <c r="P346" t="s">
        <v>507</v>
      </c>
      <c r="Q346" t="str">
        <f>_xlfn.XLOOKUP(angajati__2[[#This Row],[id_departament]],departamente!A:A,departamente!B:B)</f>
        <v>Marketing</v>
      </c>
      <c r="R346">
        <f t="shared" si="15"/>
        <v>38</v>
      </c>
      <c r="S346">
        <f t="shared" si="16"/>
        <v>1.3</v>
      </c>
      <c r="T346" t="str" cm="1">
        <f t="array" ref="T346">_xlfn.IFS(
    S346&lt;1, "&lt; 1 an",
    S346&lt;3, "1–3 ani",
    S346&lt;5, "3–5 ani",
    S346&gt;=5, "&gt; 5 ani"
)</f>
        <v>1–3 ani</v>
      </c>
      <c r="U346">
        <f t="shared" si="17"/>
        <v>1</v>
      </c>
    </row>
    <row r="347" spans="1:21" x14ac:dyDescent="0.3">
      <c r="A347">
        <v>1284</v>
      </c>
      <c r="B347" t="s">
        <v>64</v>
      </c>
      <c r="C347" t="s">
        <v>178</v>
      </c>
      <c r="D347" t="s">
        <v>18</v>
      </c>
      <c r="E347" s="1">
        <v>28773</v>
      </c>
      <c r="F347" s="1">
        <v>45259</v>
      </c>
      <c r="G347">
        <v>10</v>
      </c>
      <c r="H347" t="s">
        <v>44</v>
      </c>
      <c r="I347" t="s">
        <v>39</v>
      </c>
      <c r="J347" t="s">
        <v>21</v>
      </c>
      <c r="K347" t="s">
        <v>22</v>
      </c>
      <c r="L347" s="15">
        <v>13850</v>
      </c>
      <c r="M347" t="s">
        <v>32</v>
      </c>
      <c r="P347" t="s">
        <v>508</v>
      </c>
      <c r="Q347" t="str">
        <f>_xlfn.XLOOKUP(angajati__2[[#This Row],[id_departament]],departamente!A:A,departamente!B:B)</f>
        <v>IT</v>
      </c>
      <c r="R347">
        <f t="shared" si="15"/>
        <v>47</v>
      </c>
      <c r="S347">
        <f t="shared" si="16"/>
        <v>2.1</v>
      </c>
      <c r="T347" t="str" cm="1">
        <f t="array" ref="T347">_xlfn.IFS(
    S347&lt;1, "&lt; 1 an",
    S347&lt;3, "1–3 ani",
    S347&lt;5, "3–5 ani",
    S347&gt;=5, "&gt; 5 ani"
)</f>
        <v>1–3 ani</v>
      </c>
      <c r="U347">
        <f t="shared" si="17"/>
        <v>0</v>
      </c>
    </row>
    <row r="348" spans="1:21" x14ac:dyDescent="0.3">
      <c r="A348">
        <v>1465</v>
      </c>
      <c r="B348" t="s">
        <v>125</v>
      </c>
      <c r="C348" t="s">
        <v>224</v>
      </c>
      <c r="D348" t="s">
        <v>37</v>
      </c>
      <c r="E348" s="1">
        <v>32547</v>
      </c>
      <c r="F348" s="1">
        <v>43471</v>
      </c>
      <c r="G348">
        <v>20</v>
      </c>
      <c r="H348" t="s">
        <v>104</v>
      </c>
      <c r="I348" t="s">
        <v>39</v>
      </c>
      <c r="J348" t="s">
        <v>31</v>
      </c>
      <c r="K348" t="s">
        <v>40</v>
      </c>
      <c r="L348" s="15">
        <v>7800</v>
      </c>
      <c r="M348" t="s">
        <v>32</v>
      </c>
      <c r="P348" t="s">
        <v>509</v>
      </c>
      <c r="Q348" t="str">
        <f>_xlfn.XLOOKUP(angajati__2[[#This Row],[id_departament]],departamente!A:A,departamente!B:B)</f>
        <v>Vânzări</v>
      </c>
      <c r="R348">
        <f t="shared" si="15"/>
        <v>36</v>
      </c>
      <c r="S348">
        <f t="shared" si="16"/>
        <v>7</v>
      </c>
      <c r="T348" t="str" cm="1">
        <f t="array" ref="T348">_xlfn.IFS(
    S348&lt;1, "&lt; 1 an",
    S348&lt;3, "1–3 ani",
    S348&lt;5, "3–5 ani",
    S348&gt;=5, "&gt; 5 ani"
)</f>
        <v>&gt; 5 ani</v>
      </c>
      <c r="U348">
        <f t="shared" si="17"/>
        <v>0</v>
      </c>
    </row>
    <row r="349" spans="1:21" x14ac:dyDescent="0.3">
      <c r="A349">
        <v>1093</v>
      </c>
      <c r="B349" t="s">
        <v>157</v>
      </c>
      <c r="C349" t="s">
        <v>74</v>
      </c>
      <c r="D349" t="s">
        <v>18</v>
      </c>
      <c r="E349" s="1">
        <v>26796</v>
      </c>
      <c r="F349" s="1">
        <v>45315</v>
      </c>
      <c r="G349">
        <v>60</v>
      </c>
      <c r="H349" t="s">
        <v>78</v>
      </c>
      <c r="I349" t="s">
        <v>39</v>
      </c>
      <c r="J349" t="s">
        <v>21</v>
      </c>
      <c r="K349" t="s">
        <v>22</v>
      </c>
      <c r="L349" s="15">
        <v>6800</v>
      </c>
      <c r="M349" t="s">
        <v>23</v>
      </c>
      <c r="N349" s="1">
        <v>45603</v>
      </c>
      <c r="O349" t="s">
        <v>687</v>
      </c>
      <c r="P349" t="s">
        <v>510</v>
      </c>
      <c r="Q349" t="str">
        <f>_xlfn.XLOOKUP(angajati__2[[#This Row],[id_departament]],departamente!A:A,departamente!B:B)</f>
        <v>Suport Clienți</v>
      </c>
      <c r="R349">
        <f t="shared" si="15"/>
        <v>52</v>
      </c>
      <c r="S349">
        <f t="shared" si="16"/>
        <v>0.8</v>
      </c>
      <c r="T349" t="str" cm="1">
        <f t="array" ref="T349">_xlfn.IFS(
    S349&lt;1, "&lt; 1 an",
    S349&lt;3, "1–3 ani",
    S349&lt;5, "3–5 ani",
    S349&gt;=5, "&gt; 5 ani"
)</f>
        <v>&lt; 1 an</v>
      </c>
      <c r="U349">
        <f t="shared" si="17"/>
        <v>1</v>
      </c>
    </row>
    <row r="350" spans="1:21" x14ac:dyDescent="0.3">
      <c r="A350">
        <v>1253</v>
      </c>
      <c r="B350" t="s">
        <v>115</v>
      </c>
      <c r="C350" t="s">
        <v>98</v>
      </c>
      <c r="D350" t="s">
        <v>37</v>
      </c>
      <c r="E350" s="1">
        <v>31313</v>
      </c>
      <c r="F350" s="1">
        <v>44608</v>
      </c>
      <c r="G350">
        <v>30</v>
      </c>
      <c r="H350" t="s">
        <v>209</v>
      </c>
      <c r="I350" t="s">
        <v>45</v>
      </c>
      <c r="J350" t="s">
        <v>46</v>
      </c>
      <c r="K350" t="s">
        <v>22</v>
      </c>
      <c r="L350" s="15">
        <v>4050</v>
      </c>
      <c r="M350" t="s">
        <v>23</v>
      </c>
      <c r="N350" s="1">
        <v>45056</v>
      </c>
      <c r="O350" t="s">
        <v>105</v>
      </c>
      <c r="P350" t="s">
        <v>511</v>
      </c>
      <c r="Q350" t="str">
        <f>_xlfn.XLOOKUP(angajati__2[[#This Row],[id_departament]],departamente!A:A,departamente!B:B)</f>
        <v>Marketing</v>
      </c>
      <c r="R350">
        <f t="shared" si="15"/>
        <v>40</v>
      </c>
      <c r="S350">
        <f t="shared" si="16"/>
        <v>1.2</v>
      </c>
      <c r="T350" t="str" cm="1">
        <f t="array" ref="T350">_xlfn.IFS(
    S350&lt;1, "&lt; 1 an",
    S350&lt;3, "1–3 ani",
    S350&lt;5, "3–5 ani",
    S350&gt;=5, "&gt; 5 ani"
)</f>
        <v>1–3 ani</v>
      </c>
      <c r="U350">
        <f t="shared" si="17"/>
        <v>1</v>
      </c>
    </row>
    <row r="351" spans="1:21" x14ac:dyDescent="0.3">
      <c r="A351">
        <v>1033</v>
      </c>
      <c r="B351" t="s">
        <v>396</v>
      </c>
      <c r="C351" t="s">
        <v>27</v>
      </c>
      <c r="D351" t="s">
        <v>37</v>
      </c>
      <c r="E351" s="1">
        <v>26550</v>
      </c>
      <c r="F351" s="1">
        <v>42526</v>
      </c>
      <c r="G351">
        <v>10</v>
      </c>
      <c r="H351" t="s">
        <v>275</v>
      </c>
      <c r="I351" t="s">
        <v>20</v>
      </c>
      <c r="J351" t="s">
        <v>21</v>
      </c>
      <c r="K351" t="s">
        <v>22</v>
      </c>
      <c r="L351" s="15">
        <v>17900</v>
      </c>
      <c r="M351" t="s">
        <v>23</v>
      </c>
      <c r="N351" s="1">
        <v>43453</v>
      </c>
      <c r="O351" t="s">
        <v>105</v>
      </c>
      <c r="P351" t="s">
        <v>512</v>
      </c>
      <c r="Q351" t="str">
        <f>_xlfn.XLOOKUP(angajati__2[[#This Row],[id_departament]],departamente!A:A,departamente!B:B)</f>
        <v>IT</v>
      </c>
      <c r="R351">
        <f t="shared" si="15"/>
        <v>53</v>
      </c>
      <c r="S351">
        <f t="shared" si="16"/>
        <v>2.5</v>
      </c>
      <c r="T351" t="str" cm="1">
        <f t="array" ref="T351">_xlfn.IFS(
    S351&lt;1, "&lt; 1 an",
    S351&lt;3, "1–3 ani",
    S351&lt;5, "3–5 ani",
    S351&gt;=5, "&gt; 5 ani"
)</f>
        <v>1–3 ani</v>
      </c>
      <c r="U351">
        <f t="shared" si="17"/>
        <v>1</v>
      </c>
    </row>
    <row r="352" spans="1:21" x14ac:dyDescent="0.3">
      <c r="A352">
        <v>1136</v>
      </c>
      <c r="B352" t="s">
        <v>42</v>
      </c>
      <c r="C352" t="s">
        <v>163</v>
      </c>
      <c r="D352" t="s">
        <v>18</v>
      </c>
      <c r="E352" s="1">
        <v>33813</v>
      </c>
      <c r="F352" s="1">
        <v>43931</v>
      </c>
      <c r="G352">
        <v>60</v>
      </c>
      <c r="H352" t="s">
        <v>29</v>
      </c>
      <c r="I352" t="s">
        <v>39</v>
      </c>
      <c r="J352" t="s">
        <v>21</v>
      </c>
      <c r="K352" t="s">
        <v>22</v>
      </c>
      <c r="L352" s="15">
        <v>6200</v>
      </c>
      <c r="M352" t="s">
        <v>32</v>
      </c>
      <c r="P352" t="s">
        <v>513</v>
      </c>
      <c r="Q352" t="str">
        <f>_xlfn.XLOOKUP(angajati__2[[#This Row],[id_departament]],departamente!A:A,departamente!B:B)</f>
        <v>Suport Clienți</v>
      </c>
      <c r="R352">
        <f t="shared" si="15"/>
        <v>33</v>
      </c>
      <c r="S352">
        <f t="shared" si="16"/>
        <v>5.7</v>
      </c>
      <c r="T352" t="str" cm="1">
        <f t="array" ref="T352">_xlfn.IFS(
    S352&lt;1, "&lt; 1 an",
    S352&lt;3, "1–3 ani",
    S352&lt;5, "3–5 ani",
    S352&gt;=5, "&gt; 5 ani"
)</f>
        <v>&gt; 5 ani</v>
      </c>
      <c r="U352">
        <f t="shared" si="17"/>
        <v>0</v>
      </c>
    </row>
    <row r="353" spans="1:21" x14ac:dyDescent="0.3">
      <c r="A353">
        <v>1023</v>
      </c>
      <c r="B353" t="s">
        <v>48</v>
      </c>
      <c r="C353" t="s">
        <v>36</v>
      </c>
      <c r="D353" t="s">
        <v>37</v>
      </c>
      <c r="E353" s="1">
        <v>35376</v>
      </c>
      <c r="F353" s="1">
        <v>44115</v>
      </c>
      <c r="G353">
        <v>70</v>
      </c>
      <c r="H353" t="s">
        <v>116</v>
      </c>
      <c r="I353" t="s">
        <v>45</v>
      </c>
      <c r="J353" t="s">
        <v>31</v>
      </c>
      <c r="K353" t="s">
        <v>22</v>
      </c>
      <c r="L353" s="15">
        <v>4400</v>
      </c>
      <c r="M353" t="s">
        <v>32</v>
      </c>
      <c r="P353" t="s">
        <v>514</v>
      </c>
      <c r="Q353" t="str">
        <f>_xlfn.XLOOKUP(angajati__2[[#This Row],[id_departament]],departamente!A:A,departamente!B:B)</f>
        <v>Operațiuni</v>
      </c>
      <c r="R353">
        <f t="shared" si="15"/>
        <v>29</v>
      </c>
      <c r="S353">
        <f t="shared" si="16"/>
        <v>5.2</v>
      </c>
      <c r="T353" t="str" cm="1">
        <f t="array" ref="T353">_xlfn.IFS(
    S353&lt;1, "&lt; 1 an",
    S353&lt;3, "1–3 ani",
    S353&lt;5, "3–5 ani",
    S353&gt;=5, "&gt; 5 ani"
)</f>
        <v>&gt; 5 ani</v>
      </c>
      <c r="U353">
        <f t="shared" si="17"/>
        <v>0</v>
      </c>
    </row>
    <row r="354" spans="1:21" x14ac:dyDescent="0.3">
      <c r="A354">
        <v>1063</v>
      </c>
      <c r="B354" t="s">
        <v>136</v>
      </c>
      <c r="C354" t="s">
        <v>184</v>
      </c>
      <c r="D354" t="s">
        <v>37</v>
      </c>
      <c r="E354" s="1">
        <v>29007</v>
      </c>
      <c r="F354" s="1">
        <v>44803</v>
      </c>
      <c r="G354">
        <v>50</v>
      </c>
      <c r="H354" t="s">
        <v>123</v>
      </c>
      <c r="I354" t="s">
        <v>30</v>
      </c>
      <c r="J354" t="s">
        <v>21</v>
      </c>
      <c r="K354" t="s">
        <v>22</v>
      </c>
      <c r="L354" s="15">
        <v>7450</v>
      </c>
      <c r="M354" t="s">
        <v>32</v>
      </c>
      <c r="P354" t="s">
        <v>515</v>
      </c>
      <c r="Q354" t="str">
        <f>_xlfn.XLOOKUP(angajati__2[[#This Row],[id_departament]],departamente!A:A,departamente!B:B)</f>
        <v>Financiar</v>
      </c>
      <c r="R354">
        <f t="shared" si="15"/>
        <v>46</v>
      </c>
      <c r="S354">
        <f t="shared" si="16"/>
        <v>3.3</v>
      </c>
      <c r="T354" t="str" cm="1">
        <f t="array" ref="T354">_xlfn.IFS(
    S354&lt;1, "&lt; 1 an",
    S354&lt;3, "1–3 ani",
    S354&lt;5, "3–5 ani",
    S354&gt;=5, "&gt; 5 ani"
)</f>
        <v>3–5 ani</v>
      </c>
      <c r="U354">
        <f t="shared" si="17"/>
        <v>0</v>
      </c>
    </row>
    <row r="355" spans="1:21" x14ac:dyDescent="0.3">
      <c r="A355">
        <v>1476</v>
      </c>
      <c r="B355" t="s">
        <v>136</v>
      </c>
      <c r="C355" t="s">
        <v>178</v>
      </c>
      <c r="D355" t="s">
        <v>18</v>
      </c>
      <c r="E355" s="1">
        <v>36635</v>
      </c>
      <c r="F355" s="1">
        <v>44388</v>
      </c>
      <c r="G355">
        <v>20</v>
      </c>
      <c r="H355" t="s">
        <v>68</v>
      </c>
      <c r="I355" t="s">
        <v>30</v>
      </c>
      <c r="J355" t="s">
        <v>21</v>
      </c>
      <c r="K355" t="s">
        <v>22</v>
      </c>
      <c r="L355" s="15">
        <v>4400</v>
      </c>
      <c r="M355" t="s">
        <v>23</v>
      </c>
      <c r="N355" s="1">
        <v>45415</v>
      </c>
      <c r="O355" t="s">
        <v>105</v>
      </c>
      <c r="P355" t="s">
        <v>516</v>
      </c>
      <c r="Q355" t="str">
        <f>_xlfn.XLOOKUP(angajati__2[[#This Row],[id_departament]],departamente!A:A,departamente!B:B)</f>
        <v>Vânzări</v>
      </c>
      <c r="R355">
        <f t="shared" si="15"/>
        <v>25</v>
      </c>
      <c r="S355">
        <f t="shared" si="16"/>
        <v>2.8</v>
      </c>
      <c r="T355" t="str" cm="1">
        <f t="array" ref="T355">_xlfn.IFS(
    S355&lt;1, "&lt; 1 an",
    S355&lt;3, "1–3 ani",
    S355&lt;5, "3–5 ani",
    S355&gt;=5, "&gt; 5 ani"
)</f>
        <v>1–3 ani</v>
      </c>
      <c r="U355">
        <f t="shared" si="17"/>
        <v>1</v>
      </c>
    </row>
    <row r="356" spans="1:21" x14ac:dyDescent="0.3">
      <c r="A356">
        <v>1216</v>
      </c>
      <c r="B356" t="s">
        <v>64</v>
      </c>
      <c r="C356" t="s">
        <v>206</v>
      </c>
      <c r="D356" t="s">
        <v>18</v>
      </c>
      <c r="E356" s="1">
        <v>36274</v>
      </c>
      <c r="F356" s="1">
        <v>45069</v>
      </c>
      <c r="G356">
        <v>50</v>
      </c>
      <c r="H356" t="s">
        <v>71</v>
      </c>
      <c r="I356" t="s">
        <v>45</v>
      </c>
      <c r="J356" t="s">
        <v>52</v>
      </c>
      <c r="K356" t="s">
        <v>22</v>
      </c>
      <c r="L356" s="15">
        <v>4600</v>
      </c>
      <c r="M356" t="s">
        <v>32</v>
      </c>
      <c r="P356" t="s">
        <v>517</v>
      </c>
      <c r="Q356" t="str">
        <f>_xlfn.XLOOKUP(angajati__2[[#This Row],[id_departament]],departamente!A:A,departamente!B:B)</f>
        <v>Financiar</v>
      </c>
      <c r="R356">
        <f t="shared" si="15"/>
        <v>26</v>
      </c>
      <c r="S356">
        <f t="shared" si="16"/>
        <v>2.6</v>
      </c>
      <c r="T356" t="str" cm="1">
        <f t="array" ref="T356">_xlfn.IFS(
    S356&lt;1, "&lt; 1 an",
    S356&lt;3, "1–3 ani",
    S356&lt;5, "3–5 ani",
    S356&gt;=5, "&gt; 5 ani"
)</f>
        <v>1–3 ani</v>
      </c>
      <c r="U356">
        <f t="shared" si="17"/>
        <v>0</v>
      </c>
    </row>
    <row r="357" spans="1:21" x14ac:dyDescent="0.3">
      <c r="A357">
        <v>1404</v>
      </c>
      <c r="B357" t="s">
        <v>396</v>
      </c>
      <c r="C357" t="s">
        <v>110</v>
      </c>
      <c r="D357" t="s">
        <v>37</v>
      </c>
      <c r="E357" s="1">
        <v>35295</v>
      </c>
      <c r="F357" s="1">
        <v>43076</v>
      </c>
      <c r="G357">
        <v>10</v>
      </c>
      <c r="H357" t="s">
        <v>87</v>
      </c>
      <c r="I357" t="s">
        <v>45</v>
      </c>
      <c r="J357" t="s">
        <v>21</v>
      </c>
      <c r="K357" t="s">
        <v>22</v>
      </c>
      <c r="L357" s="15">
        <v>5750</v>
      </c>
      <c r="M357" t="s">
        <v>32</v>
      </c>
      <c r="P357" t="s">
        <v>518</v>
      </c>
      <c r="Q357" t="str">
        <f>_xlfn.XLOOKUP(angajati__2[[#This Row],[id_departament]],departamente!A:A,departamente!B:B)</f>
        <v>IT</v>
      </c>
      <c r="R357">
        <f t="shared" si="15"/>
        <v>29</v>
      </c>
      <c r="S357">
        <f t="shared" si="16"/>
        <v>8.1</v>
      </c>
      <c r="T357" t="str" cm="1">
        <f t="array" ref="T357">_xlfn.IFS(
    S357&lt;1, "&lt; 1 an",
    S357&lt;3, "1–3 ani",
    S357&lt;5, "3–5 ani",
    S357&gt;=5, "&gt; 5 ani"
)</f>
        <v>&gt; 5 ani</v>
      </c>
      <c r="U357">
        <f t="shared" si="17"/>
        <v>0</v>
      </c>
    </row>
    <row r="358" spans="1:21" x14ac:dyDescent="0.3">
      <c r="A358">
        <v>1258</v>
      </c>
      <c r="B358" t="s">
        <v>188</v>
      </c>
      <c r="C358" t="s">
        <v>90</v>
      </c>
      <c r="D358" t="s">
        <v>18</v>
      </c>
      <c r="E358" s="1">
        <v>28406</v>
      </c>
      <c r="F358" s="1">
        <v>44582</v>
      </c>
      <c r="G358">
        <v>10</v>
      </c>
      <c r="H358" t="s">
        <v>108</v>
      </c>
      <c r="I358" t="s">
        <v>30</v>
      </c>
      <c r="J358" t="s">
        <v>21</v>
      </c>
      <c r="K358" t="s">
        <v>22</v>
      </c>
      <c r="L358" s="15">
        <v>8600</v>
      </c>
      <c r="M358" t="s">
        <v>32</v>
      </c>
      <c r="P358" t="s">
        <v>519</v>
      </c>
      <c r="Q358" t="str">
        <f>_xlfn.XLOOKUP(angajati__2[[#This Row],[id_departament]],departamente!A:A,departamente!B:B)</f>
        <v>IT</v>
      </c>
      <c r="R358">
        <f t="shared" si="15"/>
        <v>48</v>
      </c>
      <c r="S358">
        <f t="shared" si="16"/>
        <v>3.9</v>
      </c>
      <c r="T358" t="str" cm="1">
        <f t="array" ref="T358">_xlfn.IFS(
    S358&lt;1, "&lt; 1 an",
    S358&lt;3, "1–3 ani",
    S358&lt;5, "3–5 ani",
    S358&gt;=5, "&gt; 5 ani"
)</f>
        <v>3–5 ani</v>
      </c>
      <c r="U358">
        <f t="shared" si="17"/>
        <v>0</v>
      </c>
    </row>
    <row r="359" spans="1:21" x14ac:dyDescent="0.3">
      <c r="A359">
        <v>1053</v>
      </c>
      <c r="B359" t="s">
        <v>48</v>
      </c>
      <c r="C359" t="s">
        <v>59</v>
      </c>
      <c r="D359" t="s">
        <v>18</v>
      </c>
      <c r="E359" s="1">
        <v>28721</v>
      </c>
      <c r="F359" s="1">
        <v>44847</v>
      </c>
      <c r="G359">
        <v>10</v>
      </c>
      <c r="H359" t="s">
        <v>44</v>
      </c>
      <c r="I359" t="s">
        <v>30</v>
      </c>
      <c r="J359" t="s">
        <v>21</v>
      </c>
      <c r="K359" t="s">
        <v>22</v>
      </c>
      <c r="L359" s="15">
        <v>7800</v>
      </c>
      <c r="M359" t="s">
        <v>32</v>
      </c>
      <c r="P359" t="s">
        <v>520</v>
      </c>
      <c r="Q359" t="str">
        <f>_xlfn.XLOOKUP(angajati__2[[#This Row],[id_departament]],departamente!A:A,departamente!B:B)</f>
        <v>IT</v>
      </c>
      <c r="R359">
        <f t="shared" si="15"/>
        <v>47</v>
      </c>
      <c r="S359">
        <f t="shared" si="16"/>
        <v>3.2</v>
      </c>
      <c r="T359" t="str" cm="1">
        <f t="array" ref="T359">_xlfn.IFS(
    S359&lt;1, "&lt; 1 an",
    S359&lt;3, "1–3 ani",
    S359&lt;5, "3–5 ani",
    S359&gt;=5, "&gt; 5 ani"
)</f>
        <v>3–5 ani</v>
      </c>
      <c r="U359">
        <f t="shared" si="17"/>
        <v>0</v>
      </c>
    </row>
    <row r="360" spans="1:21" x14ac:dyDescent="0.3">
      <c r="A360">
        <v>1405</v>
      </c>
      <c r="B360" t="s">
        <v>89</v>
      </c>
      <c r="C360" t="s">
        <v>200</v>
      </c>
      <c r="D360" t="s">
        <v>18</v>
      </c>
      <c r="E360" s="1">
        <v>27896</v>
      </c>
      <c r="F360" s="1">
        <v>42966</v>
      </c>
      <c r="G360">
        <v>20</v>
      </c>
      <c r="H360" t="s">
        <v>104</v>
      </c>
      <c r="I360" t="s">
        <v>30</v>
      </c>
      <c r="J360" t="s">
        <v>52</v>
      </c>
      <c r="K360" t="s">
        <v>22</v>
      </c>
      <c r="L360" s="15">
        <v>4750</v>
      </c>
      <c r="M360" t="s">
        <v>32</v>
      </c>
      <c r="P360" t="s">
        <v>521</v>
      </c>
      <c r="Q360" t="str">
        <f>_xlfn.XLOOKUP(angajati__2[[#This Row],[id_departament]],departamente!A:A,departamente!B:B)</f>
        <v>Vânzări</v>
      </c>
      <c r="R360">
        <f t="shared" si="15"/>
        <v>49</v>
      </c>
      <c r="S360">
        <f t="shared" si="16"/>
        <v>8.4</v>
      </c>
      <c r="T360" t="str" cm="1">
        <f t="array" ref="T360">_xlfn.IFS(
    S360&lt;1, "&lt; 1 an",
    S360&lt;3, "1–3 ani",
    S360&lt;5, "3–5 ani",
    S360&gt;=5, "&gt; 5 ani"
)</f>
        <v>&gt; 5 ani</v>
      </c>
      <c r="U360">
        <f t="shared" si="17"/>
        <v>0</v>
      </c>
    </row>
    <row r="361" spans="1:21" x14ac:dyDescent="0.3">
      <c r="A361">
        <v>1174</v>
      </c>
      <c r="B361" t="s">
        <v>70</v>
      </c>
      <c r="C361" t="s">
        <v>144</v>
      </c>
      <c r="D361" t="s">
        <v>37</v>
      </c>
      <c r="E361" s="1">
        <v>28786</v>
      </c>
      <c r="F361" s="1">
        <v>42490</v>
      </c>
      <c r="G361">
        <v>60</v>
      </c>
      <c r="H361" t="s">
        <v>78</v>
      </c>
      <c r="I361" t="s">
        <v>39</v>
      </c>
      <c r="J361" t="s">
        <v>52</v>
      </c>
      <c r="K361" t="s">
        <v>22</v>
      </c>
      <c r="L361" s="15">
        <v>5450</v>
      </c>
      <c r="M361" t="s">
        <v>32</v>
      </c>
      <c r="P361" t="s">
        <v>523</v>
      </c>
      <c r="Q361" t="str">
        <f>_xlfn.XLOOKUP(angajati__2[[#This Row],[id_departament]],departamente!A:A,departamente!B:B)</f>
        <v>Suport Clienți</v>
      </c>
      <c r="R361">
        <f t="shared" si="15"/>
        <v>47</v>
      </c>
      <c r="S361">
        <f t="shared" si="16"/>
        <v>9.6999999999999993</v>
      </c>
      <c r="T361" t="str" cm="1">
        <f t="array" ref="T361">_xlfn.IFS(
    S361&lt;1, "&lt; 1 an",
    S361&lt;3, "1–3 ani",
    S361&lt;5, "3–5 ani",
    S361&gt;=5, "&gt; 5 ani"
)</f>
        <v>&gt; 5 ani</v>
      </c>
      <c r="U361">
        <f t="shared" si="17"/>
        <v>0</v>
      </c>
    </row>
    <row r="362" spans="1:21" x14ac:dyDescent="0.3">
      <c r="A362">
        <v>1036</v>
      </c>
      <c r="B362" t="s">
        <v>112</v>
      </c>
      <c r="C362" t="s">
        <v>216</v>
      </c>
      <c r="D362" t="s">
        <v>18</v>
      </c>
      <c r="E362" s="1">
        <v>34385</v>
      </c>
      <c r="F362" s="1">
        <v>42425</v>
      </c>
      <c r="G362">
        <v>60</v>
      </c>
      <c r="H362" t="s">
        <v>78</v>
      </c>
      <c r="I362" t="s">
        <v>45</v>
      </c>
      <c r="J362" t="s">
        <v>21</v>
      </c>
      <c r="K362" t="s">
        <v>22</v>
      </c>
      <c r="L362" s="15">
        <v>2825</v>
      </c>
      <c r="M362" t="s">
        <v>32</v>
      </c>
      <c r="P362" t="s">
        <v>524</v>
      </c>
      <c r="Q362" t="str">
        <f>_xlfn.XLOOKUP(angajati__2[[#This Row],[id_departament]],departamente!A:A,departamente!B:B)</f>
        <v>Suport Clienți</v>
      </c>
      <c r="R362">
        <f t="shared" si="15"/>
        <v>31</v>
      </c>
      <c r="S362">
        <f t="shared" si="16"/>
        <v>9.8000000000000007</v>
      </c>
      <c r="T362" t="str" cm="1">
        <f t="array" ref="T362">_xlfn.IFS(
    S362&lt;1, "&lt; 1 an",
    S362&lt;3, "1–3 ani",
    S362&lt;5, "3–5 ani",
    S362&gt;=5, "&gt; 5 ani"
)</f>
        <v>&gt; 5 ani</v>
      </c>
      <c r="U362">
        <f t="shared" si="17"/>
        <v>0</v>
      </c>
    </row>
    <row r="363" spans="1:21" x14ac:dyDescent="0.3">
      <c r="A363">
        <v>1179</v>
      </c>
      <c r="B363" t="s">
        <v>85</v>
      </c>
      <c r="C363" t="s">
        <v>216</v>
      </c>
      <c r="D363" t="s">
        <v>18</v>
      </c>
      <c r="E363" s="1">
        <v>30066</v>
      </c>
      <c r="F363" s="1">
        <v>45074</v>
      </c>
      <c r="G363">
        <v>10</v>
      </c>
      <c r="H363" t="s">
        <v>275</v>
      </c>
      <c r="I363" t="s">
        <v>20</v>
      </c>
      <c r="J363" t="s">
        <v>21</v>
      </c>
      <c r="K363" t="s">
        <v>22</v>
      </c>
      <c r="L363" s="15">
        <v>17650</v>
      </c>
      <c r="M363" t="s">
        <v>32</v>
      </c>
      <c r="P363" t="s">
        <v>525</v>
      </c>
      <c r="Q363" t="str">
        <f>_xlfn.XLOOKUP(angajati__2[[#This Row],[id_departament]],departamente!A:A,departamente!B:B)</f>
        <v>IT</v>
      </c>
      <c r="R363">
        <f t="shared" si="15"/>
        <v>43</v>
      </c>
      <c r="S363">
        <f t="shared" si="16"/>
        <v>2.6</v>
      </c>
      <c r="T363" t="str" cm="1">
        <f t="array" ref="T363">_xlfn.IFS(
    S363&lt;1, "&lt; 1 an",
    S363&lt;3, "1–3 ani",
    S363&lt;5, "3–5 ani",
    S363&gt;=5, "&gt; 5 ani"
)</f>
        <v>1–3 ani</v>
      </c>
      <c r="U363">
        <f t="shared" si="17"/>
        <v>0</v>
      </c>
    </row>
    <row r="364" spans="1:21" x14ac:dyDescent="0.3">
      <c r="A364">
        <v>1168</v>
      </c>
      <c r="B364" t="s">
        <v>58</v>
      </c>
      <c r="C364" t="s">
        <v>36</v>
      </c>
      <c r="D364" t="s">
        <v>37</v>
      </c>
      <c r="E364" s="1">
        <v>34100</v>
      </c>
      <c r="F364" s="1">
        <v>43077</v>
      </c>
      <c r="G364">
        <v>10</v>
      </c>
      <c r="H364" t="s">
        <v>87</v>
      </c>
      <c r="I364" t="s">
        <v>45</v>
      </c>
      <c r="J364" t="s">
        <v>21</v>
      </c>
      <c r="K364" t="s">
        <v>22</v>
      </c>
      <c r="L364" s="15">
        <v>6750</v>
      </c>
      <c r="M364" t="s">
        <v>23</v>
      </c>
      <c r="N364" s="1">
        <v>44033</v>
      </c>
      <c r="O364" t="s">
        <v>687</v>
      </c>
      <c r="P364" t="s">
        <v>526</v>
      </c>
      <c r="Q364" t="str">
        <f>_xlfn.XLOOKUP(angajati__2[[#This Row],[id_departament]],departamente!A:A,departamente!B:B)</f>
        <v>IT</v>
      </c>
      <c r="R364">
        <f t="shared" si="15"/>
        <v>32</v>
      </c>
      <c r="S364">
        <f t="shared" si="16"/>
        <v>2.6</v>
      </c>
      <c r="T364" t="str" cm="1">
        <f t="array" ref="T364">_xlfn.IFS(
    S364&lt;1, "&lt; 1 an",
    S364&lt;3, "1–3 ani",
    S364&lt;5, "3–5 ani",
    S364&gt;=5, "&gt; 5 ani"
)</f>
        <v>1–3 ani</v>
      </c>
      <c r="U364">
        <f t="shared" si="17"/>
        <v>1</v>
      </c>
    </row>
    <row r="365" spans="1:21" x14ac:dyDescent="0.3">
      <c r="A365">
        <v>1227</v>
      </c>
      <c r="B365" t="s">
        <v>115</v>
      </c>
      <c r="C365" t="s">
        <v>194</v>
      </c>
      <c r="D365" t="s">
        <v>37</v>
      </c>
      <c r="E365" s="1">
        <v>26315</v>
      </c>
      <c r="F365" s="1">
        <v>45230</v>
      </c>
      <c r="G365">
        <v>60</v>
      </c>
      <c r="H365" t="s">
        <v>19</v>
      </c>
      <c r="I365" t="s">
        <v>20</v>
      </c>
      <c r="J365" t="s">
        <v>52</v>
      </c>
      <c r="K365" t="s">
        <v>22</v>
      </c>
      <c r="L365" s="15">
        <v>7950</v>
      </c>
      <c r="M365" t="s">
        <v>32</v>
      </c>
      <c r="P365" t="s">
        <v>527</v>
      </c>
      <c r="Q365" t="str">
        <f>_xlfn.XLOOKUP(angajati__2[[#This Row],[id_departament]],departamente!A:A,departamente!B:B)</f>
        <v>Suport Clienți</v>
      </c>
      <c r="R365">
        <f t="shared" si="15"/>
        <v>53</v>
      </c>
      <c r="S365">
        <f t="shared" si="16"/>
        <v>2.2000000000000002</v>
      </c>
      <c r="T365" t="str" cm="1">
        <f t="array" ref="T365">_xlfn.IFS(
    S365&lt;1, "&lt; 1 an",
    S365&lt;3, "1–3 ani",
    S365&lt;5, "3–5 ani",
    S365&gt;=5, "&gt; 5 ani"
)</f>
        <v>1–3 ani</v>
      </c>
      <c r="U365">
        <f t="shared" si="17"/>
        <v>0</v>
      </c>
    </row>
    <row r="366" spans="1:21" x14ac:dyDescent="0.3">
      <c r="A366">
        <v>1121</v>
      </c>
      <c r="B366" t="s">
        <v>134</v>
      </c>
      <c r="C366" t="s">
        <v>198</v>
      </c>
      <c r="D366" t="s">
        <v>18</v>
      </c>
      <c r="E366" s="1">
        <v>27193</v>
      </c>
      <c r="F366" s="1">
        <v>44664</v>
      </c>
      <c r="G366">
        <v>70</v>
      </c>
      <c r="H366" t="s">
        <v>116</v>
      </c>
      <c r="I366" t="s">
        <v>39</v>
      </c>
      <c r="J366" t="s">
        <v>21</v>
      </c>
      <c r="K366" t="s">
        <v>22</v>
      </c>
      <c r="L366" s="15">
        <v>9000</v>
      </c>
      <c r="M366" t="s">
        <v>32</v>
      </c>
      <c r="P366" t="s">
        <v>528</v>
      </c>
      <c r="Q366" t="str">
        <f>_xlfn.XLOOKUP(angajati__2[[#This Row],[id_departament]],departamente!A:A,departamente!B:B)</f>
        <v>Operațiuni</v>
      </c>
      <c r="R366">
        <f t="shared" si="15"/>
        <v>51</v>
      </c>
      <c r="S366">
        <f t="shared" si="16"/>
        <v>3.7</v>
      </c>
      <c r="T366" t="str" cm="1">
        <f t="array" ref="T366">_xlfn.IFS(
    S366&lt;1, "&lt; 1 an",
    S366&lt;3, "1–3 ani",
    S366&lt;5, "3–5 ani",
    S366&gt;=5, "&gt; 5 ani"
)</f>
        <v>3–5 ani</v>
      </c>
      <c r="U366">
        <f t="shared" si="17"/>
        <v>0</v>
      </c>
    </row>
    <row r="367" spans="1:21" x14ac:dyDescent="0.3">
      <c r="A367">
        <v>1276</v>
      </c>
      <c r="B367" t="s">
        <v>134</v>
      </c>
      <c r="C367" t="s">
        <v>224</v>
      </c>
      <c r="D367" t="s">
        <v>37</v>
      </c>
      <c r="E367" s="1">
        <v>31947</v>
      </c>
      <c r="F367" s="1">
        <v>42640</v>
      </c>
      <c r="G367">
        <v>10</v>
      </c>
      <c r="H367" t="s">
        <v>44</v>
      </c>
      <c r="I367" t="s">
        <v>45</v>
      </c>
      <c r="J367" t="s">
        <v>21</v>
      </c>
      <c r="K367" t="s">
        <v>22</v>
      </c>
      <c r="L367" s="15">
        <v>6800</v>
      </c>
      <c r="M367" t="s">
        <v>32</v>
      </c>
      <c r="P367" t="s">
        <v>529</v>
      </c>
      <c r="Q367" t="str">
        <f>_xlfn.XLOOKUP(angajati__2[[#This Row],[id_departament]],departamente!A:A,departamente!B:B)</f>
        <v>IT</v>
      </c>
      <c r="R367">
        <f t="shared" si="15"/>
        <v>38</v>
      </c>
      <c r="S367">
        <f t="shared" si="16"/>
        <v>9.3000000000000007</v>
      </c>
      <c r="T367" t="str" cm="1">
        <f t="array" ref="T367">_xlfn.IFS(
    S367&lt;1, "&lt; 1 an",
    S367&lt;3, "1–3 ani",
    S367&lt;5, "3–5 ani",
    S367&gt;=5, "&gt; 5 ani"
)</f>
        <v>&gt; 5 ani</v>
      </c>
      <c r="U367">
        <f t="shared" si="17"/>
        <v>0</v>
      </c>
    </row>
    <row r="368" spans="1:21" x14ac:dyDescent="0.3">
      <c r="A368">
        <v>1045</v>
      </c>
      <c r="B368" t="s">
        <v>136</v>
      </c>
      <c r="C368" t="s">
        <v>103</v>
      </c>
      <c r="D368" t="s">
        <v>37</v>
      </c>
      <c r="E368" s="1">
        <v>36228</v>
      </c>
      <c r="F368" s="1">
        <v>44607</v>
      </c>
      <c r="G368">
        <v>70</v>
      </c>
      <c r="H368" t="s">
        <v>38</v>
      </c>
      <c r="I368" t="s">
        <v>45</v>
      </c>
      <c r="J368" t="s">
        <v>31</v>
      </c>
      <c r="K368" t="s">
        <v>22</v>
      </c>
      <c r="L368" s="15">
        <v>3450</v>
      </c>
      <c r="M368" t="s">
        <v>32</v>
      </c>
      <c r="P368" t="s">
        <v>530</v>
      </c>
      <c r="Q368" t="str">
        <f>_xlfn.XLOOKUP(angajati__2[[#This Row],[id_departament]],departamente!A:A,departamente!B:B)</f>
        <v>Operațiuni</v>
      </c>
      <c r="R368">
        <f t="shared" si="15"/>
        <v>26</v>
      </c>
      <c r="S368">
        <f t="shared" si="16"/>
        <v>3.9</v>
      </c>
      <c r="T368" t="str" cm="1">
        <f t="array" ref="T368">_xlfn.IFS(
    S368&lt;1, "&lt; 1 an",
    S368&lt;3, "1–3 ani",
    S368&lt;5, "3–5 ani",
    S368&gt;=5, "&gt; 5 ani"
)</f>
        <v>3–5 ani</v>
      </c>
      <c r="U368">
        <f t="shared" si="17"/>
        <v>0</v>
      </c>
    </row>
    <row r="369" spans="1:21" x14ac:dyDescent="0.3">
      <c r="A369">
        <v>1301</v>
      </c>
      <c r="B369" t="s">
        <v>42</v>
      </c>
      <c r="C369" t="s">
        <v>90</v>
      </c>
      <c r="D369" t="s">
        <v>18</v>
      </c>
      <c r="E369" s="1">
        <v>33904</v>
      </c>
      <c r="F369" s="1">
        <v>44969</v>
      </c>
      <c r="G369">
        <v>30</v>
      </c>
      <c r="H369" t="s">
        <v>209</v>
      </c>
      <c r="I369" t="s">
        <v>39</v>
      </c>
      <c r="J369" t="s">
        <v>52</v>
      </c>
      <c r="K369" t="s">
        <v>22</v>
      </c>
      <c r="L369" s="15">
        <v>8500</v>
      </c>
      <c r="M369" t="s">
        <v>32</v>
      </c>
      <c r="P369" t="s">
        <v>531</v>
      </c>
      <c r="Q369" t="str">
        <f>_xlfn.XLOOKUP(angajati__2[[#This Row],[id_departament]],departamente!A:A,departamente!B:B)</f>
        <v>Marketing</v>
      </c>
      <c r="R369">
        <f t="shared" si="15"/>
        <v>33</v>
      </c>
      <c r="S369">
        <f t="shared" si="16"/>
        <v>2.9</v>
      </c>
      <c r="T369" t="str" cm="1">
        <f t="array" ref="T369">_xlfn.IFS(
    S369&lt;1, "&lt; 1 an",
    S369&lt;3, "1–3 ani",
    S369&lt;5, "3–5 ani",
    S369&gt;=5, "&gt; 5 ani"
)</f>
        <v>1–3 ani</v>
      </c>
      <c r="U369">
        <f t="shared" si="17"/>
        <v>0</v>
      </c>
    </row>
    <row r="370" spans="1:21" x14ac:dyDescent="0.3">
      <c r="A370">
        <v>1325</v>
      </c>
      <c r="B370" t="s">
        <v>188</v>
      </c>
      <c r="C370" t="s">
        <v>178</v>
      </c>
      <c r="D370" t="s">
        <v>18</v>
      </c>
      <c r="E370" s="1">
        <v>35078</v>
      </c>
      <c r="F370" s="1">
        <v>44376</v>
      </c>
      <c r="G370">
        <v>20</v>
      </c>
      <c r="H370" t="s">
        <v>68</v>
      </c>
      <c r="I370" t="s">
        <v>30</v>
      </c>
      <c r="J370" t="s">
        <v>21</v>
      </c>
      <c r="K370" t="s">
        <v>22</v>
      </c>
      <c r="L370" s="15">
        <v>5200</v>
      </c>
      <c r="M370" t="s">
        <v>32</v>
      </c>
      <c r="P370" t="s">
        <v>532</v>
      </c>
      <c r="Q370" t="str">
        <f>_xlfn.XLOOKUP(angajati__2[[#This Row],[id_departament]],departamente!A:A,departamente!B:B)</f>
        <v>Vânzări</v>
      </c>
      <c r="R370">
        <f t="shared" si="15"/>
        <v>29</v>
      </c>
      <c r="S370">
        <f t="shared" si="16"/>
        <v>4.5</v>
      </c>
      <c r="T370" t="str" cm="1">
        <f t="array" ref="T370">_xlfn.IFS(
    S370&lt;1, "&lt; 1 an",
    S370&lt;3, "1–3 ani",
    S370&lt;5, "3–5 ani",
    S370&gt;=5, "&gt; 5 ani"
)</f>
        <v>3–5 ani</v>
      </c>
      <c r="U370">
        <f t="shared" si="17"/>
        <v>0</v>
      </c>
    </row>
    <row r="371" spans="1:21" x14ac:dyDescent="0.3">
      <c r="A371">
        <v>1077</v>
      </c>
      <c r="B371" t="s">
        <v>58</v>
      </c>
      <c r="C371" t="s">
        <v>194</v>
      </c>
      <c r="D371" t="s">
        <v>37</v>
      </c>
      <c r="E371" s="1">
        <v>34658</v>
      </c>
      <c r="F371" s="1">
        <v>43025</v>
      </c>
      <c r="G371">
        <v>30</v>
      </c>
      <c r="H371" t="s">
        <v>56</v>
      </c>
      <c r="I371" t="s">
        <v>30</v>
      </c>
      <c r="J371" t="s">
        <v>21</v>
      </c>
      <c r="K371" t="s">
        <v>22</v>
      </c>
      <c r="L371" s="15">
        <v>6700</v>
      </c>
      <c r="M371" t="s">
        <v>23</v>
      </c>
      <c r="N371" s="1">
        <v>43221</v>
      </c>
      <c r="O371" t="s">
        <v>186</v>
      </c>
      <c r="P371" t="s">
        <v>534</v>
      </c>
      <c r="Q371" t="str">
        <f>_xlfn.XLOOKUP(angajati__2[[#This Row],[id_departament]],departamente!A:A,departamente!B:B)</f>
        <v>Marketing</v>
      </c>
      <c r="R371">
        <f t="shared" si="15"/>
        <v>31</v>
      </c>
      <c r="S371">
        <f t="shared" si="16"/>
        <v>0.5</v>
      </c>
      <c r="T371" t="str" cm="1">
        <f t="array" ref="T371">_xlfn.IFS(
    S371&lt;1, "&lt; 1 an",
    S371&lt;3, "1–3 ani",
    S371&lt;5, "3–5 ani",
    S371&gt;=5, "&gt; 5 ani"
)</f>
        <v>&lt; 1 an</v>
      </c>
      <c r="U371">
        <f t="shared" si="17"/>
        <v>1</v>
      </c>
    </row>
    <row r="372" spans="1:21" x14ac:dyDescent="0.3">
      <c r="A372">
        <v>1209</v>
      </c>
      <c r="B372" t="s">
        <v>136</v>
      </c>
      <c r="C372" t="s">
        <v>266</v>
      </c>
      <c r="D372" t="s">
        <v>37</v>
      </c>
      <c r="E372" s="1">
        <v>29193</v>
      </c>
      <c r="F372" s="1">
        <v>45205</v>
      </c>
      <c r="G372">
        <v>60</v>
      </c>
      <c r="H372" t="s">
        <v>78</v>
      </c>
      <c r="I372" t="s">
        <v>30</v>
      </c>
      <c r="J372" t="s">
        <v>52</v>
      </c>
      <c r="K372" t="s">
        <v>22</v>
      </c>
      <c r="L372" s="15">
        <v>4450</v>
      </c>
      <c r="M372" t="s">
        <v>23</v>
      </c>
      <c r="N372" s="1">
        <v>45732</v>
      </c>
      <c r="O372" t="s">
        <v>117</v>
      </c>
      <c r="P372" t="s">
        <v>535</v>
      </c>
      <c r="Q372" t="str">
        <f>_xlfn.XLOOKUP(angajati__2[[#This Row],[id_departament]],departamente!A:A,departamente!B:B)</f>
        <v>Suport Clienți</v>
      </c>
      <c r="R372">
        <f t="shared" si="15"/>
        <v>46</v>
      </c>
      <c r="S372">
        <f t="shared" si="16"/>
        <v>1.4</v>
      </c>
      <c r="T372" t="str" cm="1">
        <f t="array" ref="T372">_xlfn.IFS(
    S372&lt;1, "&lt; 1 an",
    S372&lt;3, "1–3 ani",
    S372&lt;5, "3–5 ani",
    S372&gt;=5, "&gt; 5 ani"
)</f>
        <v>1–3 ani</v>
      </c>
      <c r="U372">
        <f t="shared" si="17"/>
        <v>1</v>
      </c>
    </row>
    <row r="373" spans="1:21" x14ac:dyDescent="0.3">
      <c r="A373">
        <v>1369</v>
      </c>
      <c r="B373" t="s">
        <v>157</v>
      </c>
      <c r="C373" t="s">
        <v>200</v>
      </c>
      <c r="D373" t="s">
        <v>18</v>
      </c>
      <c r="E373" s="1">
        <v>37147</v>
      </c>
      <c r="F373" s="1">
        <v>45839</v>
      </c>
      <c r="G373">
        <v>20</v>
      </c>
      <c r="H373" t="s">
        <v>68</v>
      </c>
      <c r="I373" t="s">
        <v>45</v>
      </c>
      <c r="J373" t="s">
        <v>21</v>
      </c>
      <c r="K373" t="s">
        <v>22</v>
      </c>
      <c r="L373" s="15">
        <v>3350</v>
      </c>
      <c r="M373" t="s">
        <v>32</v>
      </c>
      <c r="P373" t="s">
        <v>536</v>
      </c>
      <c r="Q373" t="str">
        <f>_xlfn.XLOOKUP(angajati__2[[#This Row],[id_departament]],departamente!A:A,departamente!B:B)</f>
        <v>Vânzări</v>
      </c>
      <c r="R373">
        <f t="shared" si="15"/>
        <v>24</v>
      </c>
      <c r="S373">
        <f t="shared" si="16"/>
        <v>0.5</v>
      </c>
      <c r="T373" t="str" cm="1">
        <f t="array" ref="T373">_xlfn.IFS(
    S373&lt;1, "&lt; 1 an",
    S373&lt;3, "1–3 ani",
    S373&lt;5, "3–5 ani",
    S373&gt;=5, "&gt; 5 ani"
)</f>
        <v>&lt; 1 an</v>
      </c>
      <c r="U373">
        <f t="shared" si="17"/>
        <v>0</v>
      </c>
    </row>
    <row r="374" spans="1:21" x14ac:dyDescent="0.3">
      <c r="A374">
        <v>1213</v>
      </c>
      <c r="B374" t="s">
        <v>157</v>
      </c>
      <c r="C374" t="s">
        <v>74</v>
      </c>
      <c r="D374" t="s">
        <v>18</v>
      </c>
      <c r="E374" s="1">
        <v>35601</v>
      </c>
      <c r="F374" s="1">
        <v>45668</v>
      </c>
      <c r="G374">
        <v>20</v>
      </c>
      <c r="H374" t="s">
        <v>104</v>
      </c>
      <c r="I374" t="s">
        <v>30</v>
      </c>
      <c r="J374" t="s">
        <v>21</v>
      </c>
      <c r="K374" t="s">
        <v>22</v>
      </c>
      <c r="L374" s="15">
        <v>4350</v>
      </c>
      <c r="M374" t="s">
        <v>32</v>
      </c>
      <c r="P374" t="s">
        <v>537</v>
      </c>
      <c r="Q374" t="str">
        <f>_xlfn.XLOOKUP(angajati__2[[#This Row],[id_departament]],departamente!A:A,departamente!B:B)</f>
        <v>Vânzări</v>
      </c>
      <c r="R374">
        <f t="shared" si="15"/>
        <v>28</v>
      </c>
      <c r="S374">
        <f t="shared" si="16"/>
        <v>1</v>
      </c>
      <c r="T374" t="str" cm="1">
        <f t="array" ref="T374">_xlfn.IFS(
    S374&lt;1, "&lt; 1 an",
    S374&lt;3, "1–3 ani",
    S374&lt;5, "3–5 ani",
    S374&gt;=5, "&gt; 5 ani"
)</f>
        <v>1–3 ani</v>
      </c>
      <c r="U374">
        <f t="shared" si="17"/>
        <v>0</v>
      </c>
    </row>
    <row r="375" spans="1:21" x14ac:dyDescent="0.3">
      <c r="A375">
        <v>1268</v>
      </c>
      <c r="B375" t="s">
        <v>396</v>
      </c>
      <c r="C375" t="s">
        <v>59</v>
      </c>
      <c r="D375" t="s">
        <v>18</v>
      </c>
      <c r="E375" s="1">
        <v>31571</v>
      </c>
      <c r="F375" s="1">
        <v>44051</v>
      </c>
      <c r="G375">
        <v>10</v>
      </c>
      <c r="H375" t="s">
        <v>275</v>
      </c>
      <c r="I375" t="s">
        <v>20</v>
      </c>
      <c r="J375" t="s">
        <v>21</v>
      </c>
      <c r="K375" t="s">
        <v>40</v>
      </c>
      <c r="L375" s="15">
        <v>17600</v>
      </c>
      <c r="M375" t="s">
        <v>32</v>
      </c>
      <c r="P375" t="s">
        <v>538</v>
      </c>
      <c r="Q375" t="str">
        <f>_xlfn.XLOOKUP(angajati__2[[#This Row],[id_departament]],departamente!A:A,departamente!B:B)</f>
        <v>IT</v>
      </c>
      <c r="R375">
        <f t="shared" si="15"/>
        <v>39</v>
      </c>
      <c r="S375">
        <f t="shared" si="16"/>
        <v>5.4</v>
      </c>
      <c r="T375" t="str" cm="1">
        <f t="array" ref="T375">_xlfn.IFS(
    S375&lt;1, "&lt; 1 an",
    S375&lt;3, "1–3 ani",
    S375&lt;5, "3–5 ani",
    S375&gt;=5, "&gt; 5 ani"
)</f>
        <v>&gt; 5 ani</v>
      </c>
      <c r="U375">
        <f t="shared" si="17"/>
        <v>0</v>
      </c>
    </row>
    <row r="376" spans="1:21" x14ac:dyDescent="0.3">
      <c r="A376">
        <v>1312</v>
      </c>
      <c r="B376" t="s">
        <v>147</v>
      </c>
      <c r="C376" t="s">
        <v>17</v>
      </c>
      <c r="D376" t="s">
        <v>18</v>
      </c>
      <c r="E376" s="1">
        <v>36519</v>
      </c>
      <c r="F376" s="1">
        <v>44680</v>
      </c>
      <c r="G376">
        <v>60</v>
      </c>
      <c r="H376" t="s">
        <v>78</v>
      </c>
      <c r="I376" t="s">
        <v>30</v>
      </c>
      <c r="J376" t="s">
        <v>21</v>
      </c>
      <c r="K376" t="s">
        <v>22</v>
      </c>
      <c r="L376" s="15">
        <v>3550</v>
      </c>
      <c r="M376" t="s">
        <v>23</v>
      </c>
      <c r="N376" s="1">
        <v>45406</v>
      </c>
      <c r="O376" t="s">
        <v>117</v>
      </c>
      <c r="P376" t="s">
        <v>539</v>
      </c>
      <c r="Q376" t="str">
        <f>_xlfn.XLOOKUP(angajati__2[[#This Row],[id_departament]],departamente!A:A,departamente!B:B)</f>
        <v>Suport Clienți</v>
      </c>
      <c r="R376">
        <f t="shared" si="15"/>
        <v>26</v>
      </c>
      <c r="S376">
        <f t="shared" si="16"/>
        <v>2</v>
      </c>
      <c r="T376" t="str" cm="1">
        <f t="array" ref="T376">_xlfn.IFS(
    S376&lt;1, "&lt; 1 an",
    S376&lt;3, "1–3 ani",
    S376&lt;5, "3–5 ani",
    S376&gt;=5, "&gt; 5 ani"
)</f>
        <v>1–3 ani</v>
      </c>
      <c r="U376">
        <f t="shared" si="17"/>
        <v>1</v>
      </c>
    </row>
    <row r="377" spans="1:21" x14ac:dyDescent="0.3">
      <c r="A377">
        <v>1217</v>
      </c>
      <c r="B377" t="s">
        <v>67</v>
      </c>
      <c r="C377" t="s">
        <v>81</v>
      </c>
      <c r="D377" t="s">
        <v>37</v>
      </c>
      <c r="E377" s="1">
        <v>31571</v>
      </c>
      <c r="F377" s="1">
        <v>44024</v>
      </c>
      <c r="G377">
        <v>50</v>
      </c>
      <c r="H377" t="s">
        <v>71</v>
      </c>
      <c r="I377" t="s">
        <v>30</v>
      </c>
      <c r="J377" t="s">
        <v>52</v>
      </c>
      <c r="K377" t="s">
        <v>22</v>
      </c>
      <c r="L377" s="15">
        <v>6525</v>
      </c>
      <c r="M377" t="s">
        <v>32</v>
      </c>
      <c r="P377" t="s">
        <v>540</v>
      </c>
      <c r="Q377" t="str">
        <f>_xlfn.XLOOKUP(angajati__2[[#This Row],[id_departament]],departamente!A:A,departamente!B:B)</f>
        <v>Financiar</v>
      </c>
      <c r="R377">
        <f t="shared" si="15"/>
        <v>39</v>
      </c>
      <c r="S377">
        <f t="shared" si="16"/>
        <v>5.5</v>
      </c>
      <c r="T377" t="str" cm="1">
        <f t="array" ref="T377">_xlfn.IFS(
    S377&lt;1, "&lt; 1 an",
    S377&lt;3, "1–3 ani",
    S377&lt;5, "3–5 ani",
    S377&gt;=5, "&gt; 5 ani"
)</f>
        <v>&gt; 5 ani</v>
      </c>
      <c r="U377">
        <f t="shared" si="17"/>
        <v>0</v>
      </c>
    </row>
    <row r="378" spans="1:21" x14ac:dyDescent="0.3">
      <c r="A378">
        <v>1428</v>
      </c>
      <c r="B378" t="s">
        <v>35</v>
      </c>
      <c r="C378" t="s">
        <v>59</v>
      </c>
      <c r="D378" t="s">
        <v>18</v>
      </c>
      <c r="E378" s="1">
        <v>29291</v>
      </c>
      <c r="F378" s="1">
        <v>45801</v>
      </c>
      <c r="G378">
        <v>80</v>
      </c>
      <c r="H378" t="s">
        <v>159</v>
      </c>
      <c r="I378" t="s">
        <v>45</v>
      </c>
      <c r="J378" t="s">
        <v>21</v>
      </c>
      <c r="K378" t="s">
        <v>22</v>
      </c>
      <c r="L378" s="15">
        <v>4650</v>
      </c>
      <c r="M378" t="s">
        <v>32</v>
      </c>
      <c r="P378" t="s">
        <v>541</v>
      </c>
      <c r="Q378" t="str">
        <f>_xlfn.XLOOKUP(angajati__2[[#This Row],[id_departament]],departamente!A:A,departamente!B:B)</f>
        <v>Juridic</v>
      </c>
      <c r="R378">
        <f t="shared" si="15"/>
        <v>45</v>
      </c>
      <c r="S378">
        <f t="shared" si="16"/>
        <v>0.6</v>
      </c>
      <c r="T378" t="str" cm="1">
        <f t="array" ref="T378">_xlfn.IFS(
    S378&lt;1, "&lt; 1 an",
    S378&lt;3, "1–3 ani",
    S378&lt;5, "3–5 ani",
    S378&gt;=5, "&gt; 5 ani"
)</f>
        <v>&lt; 1 an</v>
      </c>
      <c r="U378">
        <f t="shared" si="17"/>
        <v>0</v>
      </c>
    </row>
    <row r="379" spans="1:21" x14ac:dyDescent="0.3">
      <c r="A379">
        <v>1010</v>
      </c>
      <c r="B379" t="s">
        <v>115</v>
      </c>
      <c r="C379" t="s">
        <v>36</v>
      </c>
      <c r="D379" t="s">
        <v>37</v>
      </c>
      <c r="E379" s="1">
        <v>29080</v>
      </c>
      <c r="F379" s="1">
        <v>44114</v>
      </c>
      <c r="G379">
        <v>70</v>
      </c>
      <c r="H379" t="s">
        <v>116</v>
      </c>
      <c r="I379" t="s">
        <v>39</v>
      </c>
      <c r="J379" t="s">
        <v>31</v>
      </c>
      <c r="K379" t="s">
        <v>22</v>
      </c>
      <c r="L379" s="15">
        <v>7550</v>
      </c>
      <c r="M379" t="s">
        <v>23</v>
      </c>
      <c r="N379" s="1">
        <v>44530</v>
      </c>
      <c r="O379" t="s">
        <v>117</v>
      </c>
      <c r="P379" t="s">
        <v>542</v>
      </c>
      <c r="Q379" t="str">
        <f>_xlfn.XLOOKUP(angajati__2[[#This Row],[id_departament]],departamente!A:A,departamente!B:B)</f>
        <v>Operațiuni</v>
      </c>
      <c r="R379">
        <f t="shared" si="15"/>
        <v>46</v>
      </c>
      <c r="S379">
        <f t="shared" si="16"/>
        <v>1.1000000000000001</v>
      </c>
      <c r="T379" t="str" cm="1">
        <f t="array" ref="T379">_xlfn.IFS(
    S379&lt;1, "&lt; 1 an",
    S379&lt;3, "1–3 ani",
    S379&lt;5, "3–5 ani",
    S379&gt;=5, "&gt; 5 ani"
)</f>
        <v>1–3 ani</v>
      </c>
      <c r="U379">
        <f t="shared" si="17"/>
        <v>1</v>
      </c>
    </row>
    <row r="380" spans="1:21" x14ac:dyDescent="0.3">
      <c r="A380">
        <v>1398</v>
      </c>
      <c r="B380" t="s">
        <v>35</v>
      </c>
      <c r="C380" t="s">
        <v>144</v>
      </c>
      <c r="D380" t="s">
        <v>37</v>
      </c>
      <c r="E380" s="1">
        <v>36964</v>
      </c>
      <c r="F380" s="1">
        <v>45198</v>
      </c>
      <c r="G380">
        <v>60</v>
      </c>
      <c r="H380" t="s">
        <v>78</v>
      </c>
      <c r="I380" t="s">
        <v>45</v>
      </c>
      <c r="J380" t="s">
        <v>21</v>
      </c>
      <c r="K380" t="s">
        <v>22</v>
      </c>
      <c r="L380" s="15">
        <v>2900</v>
      </c>
      <c r="M380" t="s">
        <v>23</v>
      </c>
      <c r="N380" s="1">
        <v>46014</v>
      </c>
      <c r="O380" t="s">
        <v>105</v>
      </c>
      <c r="P380" t="s">
        <v>543</v>
      </c>
      <c r="Q380" t="str">
        <f>_xlfn.XLOOKUP(angajati__2[[#This Row],[id_departament]],departamente!A:A,departamente!B:B)</f>
        <v>Suport Clienți</v>
      </c>
      <c r="R380">
        <f t="shared" si="15"/>
        <v>24</v>
      </c>
      <c r="S380">
        <f t="shared" si="16"/>
        <v>2.2000000000000002</v>
      </c>
      <c r="T380" t="str" cm="1">
        <f t="array" ref="T380">_xlfn.IFS(
    S380&lt;1, "&lt; 1 an",
    S380&lt;3, "1–3 ani",
    S380&lt;5, "3–5 ani",
    S380&gt;=5, "&gt; 5 ani"
)</f>
        <v>1–3 ani</v>
      </c>
      <c r="U380">
        <f t="shared" si="17"/>
        <v>1</v>
      </c>
    </row>
    <row r="381" spans="1:21" x14ac:dyDescent="0.3">
      <c r="A381">
        <v>1416</v>
      </c>
      <c r="B381" t="s">
        <v>70</v>
      </c>
      <c r="C381" t="s">
        <v>128</v>
      </c>
      <c r="D381" t="s">
        <v>18</v>
      </c>
      <c r="E381" s="1">
        <v>34114</v>
      </c>
      <c r="F381" s="1">
        <v>43542</v>
      </c>
      <c r="G381">
        <v>10</v>
      </c>
      <c r="H381" t="s">
        <v>49</v>
      </c>
      <c r="I381" t="s">
        <v>45</v>
      </c>
      <c r="J381" t="s">
        <v>21</v>
      </c>
      <c r="K381" t="s">
        <v>22</v>
      </c>
      <c r="L381" s="15">
        <v>6100</v>
      </c>
      <c r="M381" t="s">
        <v>32</v>
      </c>
      <c r="P381" t="s">
        <v>544</v>
      </c>
      <c r="Q381" t="str">
        <f>_xlfn.XLOOKUP(angajati__2[[#This Row],[id_departament]],departamente!A:A,departamente!B:B)</f>
        <v>IT</v>
      </c>
      <c r="R381">
        <f t="shared" si="15"/>
        <v>32</v>
      </c>
      <c r="S381">
        <f t="shared" si="16"/>
        <v>6.8</v>
      </c>
      <c r="T381" t="str" cm="1">
        <f t="array" ref="T381">_xlfn.IFS(
    S381&lt;1, "&lt; 1 an",
    S381&lt;3, "1–3 ani",
    S381&lt;5, "3–5 ani",
    S381&gt;=5, "&gt; 5 ani"
)</f>
        <v>&gt; 5 ani</v>
      </c>
      <c r="U381">
        <f t="shared" si="17"/>
        <v>0</v>
      </c>
    </row>
    <row r="382" spans="1:21" x14ac:dyDescent="0.3">
      <c r="A382">
        <v>1286</v>
      </c>
      <c r="B382" t="s">
        <v>147</v>
      </c>
      <c r="C382" t="s">
        <v>273</v>
      </c>
      <c r="D382" t="s">
        <v>18</v>
      </c>
      <c r="E382" s="1">
        <v>31375</v>
      </c>
      <c r="F382" s="1">
        <v>45079</v>
      </c>
      <c r="G382">
        <v>50</v>
      </c>
      <c r="H382" t="s">
        <v>123</v>
      </c>
      <c r="I382" t="s">
        <v>30</v>
      </c>
      <c r="J382" t="s">
        <v>52</v>
      </c>
      <c r="K382" t="s">
        <v>22</v>
      </c>
      <c r="L382" s="15">
        <v>6650</v>
      </c>
      <c r="M382" t="s">
        <v>32</v>
      </c>
      <c r="P382" t="s">
        <v>545</v>
      </c>
      <c r="Q382" t="str">
        <f>_xlfn.XLOOKUP(angajati__2[[#This Row],[id_departament]],departamente!A:A,departamente!B:B)</f>
        <v>Financiar</v>
      </c>
      <c r="R382">
        <f t="shared" si="15"/>
        <v>40</v>
      </c>
      <c r="S382">
        <f t="shared" si="16"/>
        <v>2.6</v>
      </c>
      <c r="T382" t="str" cm="1">
        <f t="array" ref="T382">_xlfn.IFS(
    S382&lt;1, "&lt; 1 an",
    S382&lt;3, "1–3 ani",
    S382&lt;5, "3–5 ani",
    S382&gt;=5, "&gt; 5 ani"
)</f>
        <v>1–3 ani</v>
      </c>
      <c r="U382">
        <f t="shared" si="17"/>
        <v>0</v>
      </c>
    </row>
    <row r="383" spans="1:21" x14ac:dyDescent="0.3">
      <c r="A383">
        <v>1296</v>
      </c>
      <c r="B383" t="s">
        <v>150</v>
      </c>
      <c r="C383" t="s">
        <v>200</v>
      </c>
      <c r="D383" t="s">
        <v>18</v>
      </c>
      <c r="E383" s="1">
        <v>34827</v>
      </c>
      <c r="F383" s="1">
        <v>45045</v>
      </c>
      <c r="G383">
        <v>10</v>
      </c>
      <c r="H383" t="s">
        <v>49</v>
      </c>
      <c r="I383" t="s">
        <v>30</v>
      </c>
      <c r="J383" t="s">
        <v>21</v>
      </c>
      <c r="K383" t="s">
        <v>22</v>
      </c>
      <c r="L383" s="15">
        <v>10200</v>
      </c>
      <c r="M383" t="s">
        <v>32</v>
      </c>
      <c r="P383" t="s">
        <v>547</v>
      </c>
      <c r="Q383" t="str">
        <f>_xlfn.XLOOKUP(angajati__2[[#This Row],[id_departament]],departamente!A:A,departamente!B:B)</f>
        <v>IT</v>
      </c>
      <c r="R383">
        <f t="shared" si="15"/>
        <v>30</v>
      </c>
      <c r="S383">
        <f t="shared" si="16"/>
        <v>2.7</v>
      </c>
      <c r="T383" t="str" cm="1">
        <f t="array" ref="T383">_xlfn.IFS(
    S383&lt;1, "&lt; 1 an",
    S383&lt;3, "1–3 ani",
    S383&lt;5, "3–5 ani",
    S383&gt;=5, "&gt; 5 ani"
)</f>
        <v>1–3 ani</v>
      </c>
      <c r="U383">
        <f t="shared" si="17"/>
        <v>0</v>
      </c>
    </row>
    <row r="384" spans="1:21" x14ac:dyDescent="0.3">
      <c r="A384">
        <v>1105</v>
      </c>
      <c r="B384" t="s">
        <v>157</v>
      </c>
      <c r="C384" t="s">
        <v>216</v>
      </c>
      <c r="D384" t="s">
        <v>18</v>
      </c>
      <c r="E384" s="1">
        <v>35075</v>
      </c>
      <c r="F384" s="1">
        <v>45804</v>
      </c>
      <c r="G384">
        <v>50</v>
      </c>
      <c r="H384" t="s">
        <v>123</v>
      </c>
      <c r="I384" t="s">
        <v>45</v>
      </c>
      <c r="J384" t="s">
        <v>52</v>
      </c>
      <c r="K384" t="s">
        <v>22</v>
      </c>
      <c r="L384" s="15">
        <v>5400</v>
      </c>
      <c r="M384" t="s">
        <v>32</v>
      </c>
      <c r="P384" t="s">
        <v>548</v>
      </c>
      <c r="Q384" t="str">
        <f>_xlfn.XLOOKUP(angajati__2[[#This Row],[id_departament]],departamente!A:A,departamente!B:B)</f>
        <v>Financiar</v>
      </c>
      <c r="R384">
        <f t="shared" si="15"/>
        <v>29</v>
      </c>
      <c r="S384">
        <f t="shared" si="16"/>
        <v>0.6</v>
      </c>
      <c r="T384" t="str" cm="1">
        <f t="array" ref="T384">_xlfn.IFS(
    S384&lt;1, "&lt; 1 an",
    S384&lt;3, "1–3 ani",
    S384&lt;5, "3–5 ani",
    S384&gt;=5, "&gt; 5 ani"
)</f>
        <v>&lt; 1 an</v>
      </c>
      <c r="U384">
        <f t="shared" si="17"/>
        <v>0</v>
      </c>
    </row>
    <row r="385" spans="1:21" x14ac:dyDescent="0.3">
      <c r="A385">
        <v>1313</v>
      </c>
      <c r="B385" t="s">
        <v>58</v>
      </c>
      <c r="C385" t="s">
        <v>224</v>
      </c>
      <c r="D385" t="s">
        <v>37</v>
      </c>
      <c r="E385" s="1">
        <v>30938</v>
      </c>
      <c r="F385" s="1">
        <v>45217</v>
      </c>
      <c r="G385">
        <v>10</v>
      </c>
      <c r="H385" t="s">
        <v>49</v>
      </c>
      <c r="I385" t="s">
        <v>30</v>
      </c>
      <c r="J385" t="s">
        <v>21</v>
      </c>
      <c r="K385" t="s">
        <v>22</v>
      </c>
      <c r="L385" s="15">
        <v>7800</v>
      </c>
      <c r="M385" t="s">
        <v>32</v>
      </c>
      <c r="P385" t="s">
        <v>549</v>
      </c>
      <c r="Q385" t="str">
        <f>_xlfn.XLOOKUP(angajati__2[[#This Row],[id_departament]],departamente!A:A,departamente!B:B)</f>
        <v>IT</v>
      </c>
      <c r="R385">
        <f t="shared" si="15"/>
        <v>41</v>
      </c>
      <c r="S385">
        <f t="shared" si="16"/>
        <v>2.2000000000000002</v>
      </c>
      <c r="T385" t="str" cm="1">
        <f t="array" ref="T385">_xlfn.IFS(
    S385&lt;1, "&lt; 1 an",
    S385&lt;3, "1–3 ani",
    S385&lt;5, "3–5 ani",
    S385&gt;=5, "&gt; 5 ani"
)</f>
        <v>1–3 ani</v>
      </c>
      <c r="U385">
        <f t="shared" si="17"/>
        <v>0</v>
      </c>
    </row>
    <row r="386" spans="1:21" x14ac:dyDescent="0.3">
      <c r="A386">
        <v>1427</v>
      </c>
      <c r="B386" t="s">
        <v>67</v>
      </c>
      <c r="C386" t="s">
        <v>126</v>
      </c>
      <c r="D386" t="s">
        <v>37</v>
      </c>
      <c r="E386" s="1">
        <v>28446</v>
      </c>
      <c r="F386" s="1">
        <v>44106</v>
      </c>
      <c r="G386">
        <v>70</v>
      </c>
      <c r="H386" t="s">
        <v>75</v>
      </c>
      <c r="I386" t="s">
        <v>20</v>
      </c>
      <c r="J386" t="s">
        <v>31</v>
      </c>
      <c r="K386" t="s">
        <v>22</v>
      </c>
      <c r="L386" s="15">
        <v>11500</v>
      </c>
      <c r="M386" t="s">
        <v>32</v>
      </c>
      <c r="P386" t="s">
        <v>550</v>
      </c>
      <c r="Q386" t="str">
        <f>_xlfn.XLOOKUP(angajati__2[[#This Row],[id_departament]],departamente!A:A,departamente!B:B)</f>
        <v>Operațiuni</v>
      </c>
      <c r="R386">
        <f t="shared" ref="R386:R449" si="18">DATEDIF(E386,DATE(2025,12,31), "y")</f>
        <v>48</v>
      </c>
      <c r="S386">
        <f t="shared" ref="S386:S449" si="19">ROUND(YEARFRAC(F386, IF(M386="Plecat", N386, DATE(2025,12,31)), 1), 1)</f>
        <v>5.2</v>
      </c>
      <c r="T386" t="str" cm="1">
        <f t="array" ref="T386">_xlfn.IFS(
    S386&lt;1, "&lt; 1 an",
    S386&lt;3, "1–3 ani",
    S386&lt;5, "3–5 ani",
    S386&gt;=5, "&gt; 5 ani"
)</f>
        <v>&gt; 5 ani</v>
      </c>
      <c r="U386">
        <f t="shared" ref="U386:U449" si="20">IF(M386="Plecat", 1, 0)</f>
        <v>0</v>
      </c>
    </row>
    <row r="387" spans="1:21" x14ac:dyDescent="0.3">
      <c r="A387">
        <v>1049</v>
      </c>
      <c r="B387" t="s">
        <v>112</v>
      </c>
      <c r="C387" t="s">
        <v>273</v>
      </c>
      <c r="D387" t="s">
        <v>18</v>
      </c>
      <c r="E387" s="1">
        <v>28607</v>
      </c>
      <c r="F387" s="1">
        <v>44193</v>
      </c>
      <c r="G387">
        <v>60</v>
      </c>
      <c r="H387" t="s">
        <v>78</v>
      </c>
      <c r="I387" t="s">
        <v>39</v>
      </c>
      <c r="J387" t="s">
        <v>21</v>
      </c>
      <c r="K387" t="s">
        <v>40</v>
      </c>
      <c r="L387" s="15">
        <v>5750</v>
      </c>
      <c r="M387" t="s">
        <v>32</v>
      </c>
      <c r="P387" t="s">
        <v>551</v>
      </c>
      <c r="Q387" t="str">
        <f>_xlfn.XLOOKUP(angajati__2[[#This Row],[id_departament]],departamente!A:A,departamente!B:B)</f>
        <v>Suport Clienți</v>
      </c>
      <c r="R387">
        <f t="shared" si="18"/>
        <v>47</v>
      </c>
      <c r="S387">
        <f t="shared" si="19"/>
        <v>5</v>
      </c>
      <c r="T387" t="str" cm="1">
        <f t="array" ref="T387">_xlfn.IFS(
    S387&lt;1, "&lt; 1 an",
    S387&lt;3, "1–3 ani",
    S387&lt;5, "3–5 ani",
    S387&gt;=5, "&gt; 5 ani"
)</f>
        <v>&gt; 5 ani</v>
      </c>
      <c r="U387">
        <f t="shared" si="20"/>
        <v>0</v>
      </c>
    </row>
    <row r="388" spans="1:21" x14ac:dyDescent="0.3">
      <c r="A388">
        <v>1092</v>
      </c>
      <c r="B388" t="s">
        <v>73</v>
      </c>
      <c r="C388" t="s">
        <v>178</v>
      </c>
      <c r="D388" t="s">
        <v>18</v>
      </c>
      <c r="E388" s="1">
        <v>34598</v>
      </c>
      <c r="F388" s="1">
        <v>42745</v>
      </c>
      <c r="G388">
        <v>80</v>
      </c>
      <c r="H388" t="s">
        <v>159</v>
      </c>
      <c r="I388" t="s">
        <v>30</v>
      </c>
      <c r="J388" t="s">
        <v>21</v>
      </c>
      <c r="K388" t="s">
        <v>22</v>
      </c>
      <c r="L388" s="15">
        <v>8500</v>
      </c>
      <c r="M388" t="s">
        <v>32</v>
      </c>
      <c r="P388" t="s">
        <v>552</v>
      </c>
      <c r="Q388" t="str">
        <f>_xlfn.XLOOKUP(angajati__2[[#This Row],[id_departament]],departamente!A:A,departamente!B:B)</f>
        <v>Juridic</v>
      </c>
      <c r="R388">
        <f t="shared" si="18"/>
        <v>31</v>
      </c>
      <c r="S388">
        <f t="shared" si="19"/>
        <v>9</v>
      </c>
      <c r="T388" t="str" cm="1">
        <f t="array" ref="T388">_xlfn.IFS(
    S388&lt;1, "&lt; 1 an",
    S388&lt;3, "1–3 ani",
    S388&lt;5, "3–5 ani",
    S388&gt;=5, "&gt; 5 ani"
)</f>
        <v>&gt; 5 ani</v>
      </c>
      <c r="U388">
        <f t="shared" si="20"/>
        <v>0</v>
      </c>
    </row>
    <row r="389" spans="1:21" x14ac:dyDescent="0.3">
      <c r="A389">
        <v>1183</v>
      </c>
      <c r="B389" t="s">
        <v>26</v>
      </c>
      <c r="C389" t="s">
        <v>184</v>
      </c>
      <c r="D389" t="s">
        <v>37</v>
      </c>
      <c r="E389" s="1">
        <v>34955</v>
      </c>
      <c r="F389" s="1">
        <v>43614</v>
      </c>
      <c r="G389">
        <v>70</v>
      </c>
      <c r="H389" t="s">
        <v>116</v>
      </c>
      <c r="I389" t="s">
        <v>39</v>
      </c>
      <c r="J389" t="s">
        <v>21</v>
      </c>
      <c r="K389" t="s">
        <v>22</v>
      </c>
      <c r="L389" s="15">
        <v>8150</v>
      </c>
      <c r="M389" t="s">
        <v>32</v>
      </c>
      <c r="P389" t="s">
        <v>553</v>
      </c>
      <c r="Q389" t="str">
        <f>_xlfn.XLOOKUP(angajati__2[[#This Row],[id_departament]],departamente!A:A,departamente!B:B)</f>
        <v>Operațiuni</v>
      </c>
      <c r="R389">
        <f t="shared" si="18"/>
        <v>30</v>
      </c>
      <c r="S389">
        <f t="shared" si="19"/>
        <v>6.6</v>
      </c>
      <c r="T389" t="str" cm="1">
        <f t="array" ref="T389">_xlfn.IFS(
    S389&lt;1, "&lt; 1 an",
    S389&lt;3, "1–3 ani",
    S389&lt;5, "3–5 ani",
    S389&gt;=5, "&gt; 5 ani"
)</f>
        <v>&gt; 5 ani</v>
      </c>
      <c r="U389">
        <f t="shared" si="20"/>
        <v>0</v>
      </c>
    </row>
    <row r="390" spans="1:21" x14ac:dyDescent="0.3">
      <c r="A390">
        <v>1316</v>
      </c>
      <c r="B390" t="s">
        <v>150</v>
      </c>
      <c r="C390" t="s">
        <v>17</v>
      </c>
      <c r="D390" t="s">
        <v>18</v>
      </c>
      <c r="E390" s="1">
        <v>30043</v>
      </c>
      <c r="F390" s="1">
        <v>45643</v>
      </c>
      <c r="G390">
        <v>50</v>
      </c>
      <c r="H390" t="s">
        <v>123</v>
      </c>
      <c r="I390" t="s">
        <v>30</v>
      </c>
      <c r="J390" t="s">
        <v>52</v>
      </c>
      <c r="K390" t="s">
        <v>22</v>
      </c>
      <c r="L390" s="15">
        <v>6550</v>
      </c>
      <c r="M390" t="s">
        <v>32</v>
      </c>
      <c r="P390" t="s">
        <v>554</v>
      </c>
      <c r="Q390" t="str">
        <f>_xlfn.XLOOKUP(angajati__2[[#This Row],[id_departament]],departamente!A:A,departamente!B:B)</f>
        <v>Financiar</v>
      </c>
      <c r="R390">
        <f t="shared" si="18"/>
        <v>43</v>
      </c>
      <c r="S390">
        <f t="shared" si="19"/>
        <v>1</v>
      </c>
      <c r="T390" t="str" cm="1">
        <f t="array" ref="T390">_xlfn.IFS(
    S390&lt;1, "&lt; 1 an",
    S390&lt;3, "1–3 ani",
    S390&lt;5, "3–5 ani",
    S390&gt;=5, "&gt; 5 ani"
)</f>
        <v>1–3 ani</v>
      </c>
      <c r="U390">
        <f t="shared" si="20"/>
        <v>0</v>
      </c>
    </row>
    <row r="391" spans="1:21" x14ac:dyDescent="0.3">
      <c r="A391">
        <v>1466</v>
      </c>
      <c r="B391" t="s">
        <v>150</v>
      </c>
      <c r="C391" t="s">
        <v>330</v>
      </c>
      <c r="D391" t="s">
        <v>37</v>
      </c>
      <c r="E391" s="1">
        <v>29137</v>
      </c>
      <c r="F391" s="1">
        <v>44917</v>
      </c>
      <c r="G391">
        <v>20</v>
      </c>
      <c r="H391" t="s">
        <v>68</v>
      </c>
      <c r="I391" t="s">
        <v>30</v>
      </c>
      <c r="J391" t="s">
        <v>21</v>
      </c>
      <c r="K391" t="s">
        <v>22</v>
      </c>
      <c r="L391" s="15">
        <v>5750</v>
      </c>
      <c r="M391" t="s">
        <v>32</v>
      </c>
      <c r="P391" t="s">
        <v>555</v>
      </c>
      <c r="Q391" t="str">
        <f>_xlfn.XLOOKUP(angajati__2[[#This Row],[id_departament]],departamente!A:A,departamente!B:B)</f>
        <v>Vânzări</v>
      </c>
      <c r="R391">
        <f t="shared" si="18"/>
        <v>46</v>
      </c>
      <c r="S391">
        <f t="shared" si="19"/>
        <v>3</v>
      </c>
      <c r="T391" t="str" cm="1">
        <f t="array" ref="T391">_xlfn.IFS(
    S391&lt;1, "&lt; 1 an",
    S391&lt;3, "1–3 ani",
    S391&lt;5, "3–5 ani",
    S391&gt;=5, "&gt; 5 ani"
)</f>
        <v>3–5 ani</v>
      </c>
      <c r="U391">
        <f t="shared" si="20"/>
        <v>0</v>
      </c>
    </row>
    <row r="392" spans="1:21" x14ac:dyDescent="0.3">
      <c r="A392">
        <v>1173</v>
      </c>
      <c r="B392" t="s">
        <v>64</v>
      </c>
      <c r="C392" t="s">
        <v>81</v>
      </c>
      <c r="D392" t="s">
        <v>37</v>
      </c>
      <c r="E392" s="1">
        <v>31465</v>
      </c>
      <c r="F392" s="1">
        <v>42971</v>
      </c>
      <c r="G392">
        <v>70</v>
      </c>
      <c r="H392" t="s">
        <v>116</v>
      </c>
      <c r="I392" t="s">
        <v>39</v>
      </c>
      <c r="J392" t="s">
        <v>31</v>
      </c>
      <c r="K392" t="s">
        <v>22</v>
      </c>
      <c r="L392" s="15">
        <v>8150</v>
      </c>
      <c r="M392" t="s">
        <v>32</v>
      </c>
      <c r="P392" t="s">
        <v>556</v>
      </c>
      <c r="Q392" t="str">
        <f>_xlfn.XLOOKUP(angajati__2[[#This Row],[id_departament]],departamente!A:A,departamente!B:B)</f>
        <v>Operațiuni</v>
      </c>
      <c r="R392">
        <f t="shared" si="18"/>
        <v>39</v>
      </c>
      <c r="S392">
        <f t="shared" si="19"/>
        <v>8.4</v>
      </c>
      <c r="T392" t="str" cm="1">
        <f t="array" ref="T392">_xlfn.IFS(
    S392&lt;1, "&lt; 1 an",
    S392&lt;3, "1–3 ani",
    S392&lt;5, "3–5 ani",
    S392&gt;=5, "&gt; 5 ani"
)</f>
        <v>&gt; 5 ani</v>
      </c>
      <c r="U392">
        <f t="shared" si="20"/>
        <v>0</v>
      </c>
    </row>
    <row r="393" spans="1:21" x14ac:dyDescent="0.3">
      <c r="A393">
        <v>1233</v>
      </c>
      <c r="B393" t="s">
        <v>150</v>
      </c>
      <c r="C393" t="s">
        <v>247</v>
      </c>
      <c r="D393" t="s">
        <v>18</v>
      </c>
      <c r="E393" s="1">
        <v>32164</v>
      </c>
      <c r="F393" s="1">
        <v>44341</v>
      </c>
      <c r="G393">
        <v>30</v>
      </c>
      <c r="H393" t="s">
        <v>257</v>
      </c>
      <c r="I393" t="s">
        <v>20</v>
      </c>
      <c r="J393" t="s">
        <v>46</v>
      </c>
      <c r="K393" t="s">
        <v>22</v>
      </c>
      <c r="L393" s="15">
        <v>8950</v>
      </c>
      <c r="M393" t="s">
        <v>32</v>
      </c>
      <c r="P393" t="s">
        <v>557</v>
      </c>
      <c r="Q393" t="str">
        <f>_xlfn.XLOOKUP(angajati__2[[#This Row],[id_departament]],departamente!A:A,departamente!B:B)</f>
        <v>Marketing</v>
      </c>
      <c r="R393">
        <f t="shared" si="18"/>
        <v>37</v>
      </c>
      <c r="S393">
        <f t="shared" si="19"/>
        <v>4.5999999999999996</v>
      </c>
      <c r="T393" t="str" cm="1">
        <f t="array" ref="T393">_xlfn.IFS(
    S393&lt;1, "&lt; 1 an",
    S393&lt;3, "1–3 ani",
    S393&lt;5, "3–5 ani",
    S393&gt;=5, "&gt; 5 ani"
)</f>
        <v>3–5 ani</v>
      </c>
      <c r="U393">
        <f t="shared" si="20"/>
        <v>0</v>
      </c>
    </row>
    <row r="394" spans="1:21" x14ac:dyDescent="0.3">
      <c r="A394">
        <v>1462</v>
      </c>
      <c r="B394" t="s">
        <v>26</v>
      </c>
      <c r="C394" t="s">
        <v>103</v>
      </c>
      <c r="D394" t="s">
        <v>37</v>
      </c>
      <c r="E394" s="1">
        <v>32086</v>
      </c>
      <c r="F394" s="1">
        <v>42743</v>
      </c>
      <c r="G394">
        <v>50</v>
      </c>
      <c r="H394" t="s">
        <v>123</v>
      </c>
      <c r="I394" t="s">
        <v>30</v>
      </c>
      <c r="J394" t="s">
        <v>52</v>
      </c>
      <c r="K394" t="s">
        <v>22</v>
      </c>
      <c r="L394" s="15">
        <v>7100</v>
      </c>
      <c r="M394" t="s">
        <v>32</v>
      </c>
      <c r="P394" t="s">
        <v>558</v>
      </c>
      <c r="Q394" t="str">
        <f>_xlfn.XLOOKUP(angajati__2[[#This Row],[id_departament]],departamente!A:A,departamente!B:B)</f>
        <v>Financiar</v>
      </c>
      <c r="R394">
        <f t="shared" si="18"/>
        <v>38</v>
      </c>
      <c r="S394">
        <f t="shared" si="19"/>
        <v>9</v>
      </c>
      <c r="T394" t="str" cm="1">
        <f t="array" ref="T394">_xlfn.IFS(
    S394&lt;1, "&lt; 1 an",
    S394&lt;3, "1–3 ani",
    S394&lt;5, "3–5 ani",
    S394&gt;=5, "&gt; 5 ani"
)</f>
        <v>&gt; 5 ani</v>
      </c>
      <c r="U394">
        <f t="shared" si="20"/>
        <v>0</v>
      </c>
    </row>
    <row r="395" spans="1:21" x14ac:dyDescent="0.3">
      <c r="A395">
        <v>1037</v>
      </c>
      <c r="B395" t="s">
        <v>164</v>
      </c>
      <c r="C395" t="s">
        <v>163</v>
      </c>
      <c r="D395" t="s">
        <v>18</v>
      </c>
      <c r="E395" s="1">
        <v>29022</v>
      </c>
      <c r="F395" s="1">
        <v>43019</v>
      </c>
      <c r="G395">
        <v>10</v>
      </c>
      <c r="H395" t="s">
        <v>275</v>
      </c>
      <c r="I395" t="s">
        <v>20</v>
      </c>
      <c r="J395" t="s">
        <v>21</v>
      </c>
      <c r="K395" t="s">
        <v>22</v>
      </c>
      <c r="L395" s="15">
        <v>16250</v>
      </c>
      <c r="M395" t="s">
        <v>32</v>
      </c>
      <c r="P395" t="s">
        <v>559</v>
      </c>
      <c r="Q395" t="str">
        <f>_xlfn.XLOOKUP(angajati__2[[#This Row],[id_departament]],departamente!A:A,departamente!B:B)</f>
        <v>IT</v>
      </c>
      <c r="R395">
        <f t="shared" si="18"/>
        <v>46</v>
      </c>
      <c r="S395">
        <f t="shared" si="19"/>
        <v>8.1999999999999993</v>
      </c>
      <c r="T395" t="str" cm="1">
        <f t="array" ref="T395">_xlfn.IFS(
    S395&lt;1, "&lt; 1 an",
    S395&lt;3, "1–3 ani",
    S395&lt;5, "3–5 ani",
    S395&gt;=5, "&gt; 5 ani"
)</f>
        <v>&gt; 5 ani</v>
      </c>
      <c r="U395">
        <f t="shared" si="20"/>
        <v>0</v>
      </c>
    </row>
    <row r="396" spans="1:21" x14ac:dyDescent="0.3">
      <c r="A396">
        <v>1157</v>
      </c>
      <c r="B396" t="s">
        <v>112</v>
      </c>
      <c r="C396" t="s">
        <v>65</v>
      </c>
      <c r="D396" t="s">
        <v>18</v>
      </c>
      <c r="E396" s="1">
        <v>34012</v>
      </c>
      <c r="F396" s="1">
        <v>44406</v>
      </c>
      <c r="G396">
        <v>10</v>
      </c>
      <c r="H396" t="s">
        <v>108</v>
      </c>
      <c r="I396" t="s">
        <v>45</v>
      </c>
      <c r="J396" t="s">
        <v>31</v>
      </c>
      <c r="K396" t="s">
        <v>40</v>
      </c>
      <c r="L396" s="15">
        <v>5850</v>
      </c>
      <c r="M396" t="s">
        <v>32</v>
      </c>
      <c r="P396" t="s">
        <v>560</v>
      </c>
      <c r="Q396" t="str">
        <f>_xlfn.XLOOKUP(angajati__2[[#This Row],[id_departament]],departamente!A:A,departamente!B:B)</f>
        <v>IT</v>
      </c>
      <c r="R396">
        <f t="shared" si="18"/>
        <v>32</v>
      </c>
      <c r="S396">
        <f t="shared" si="19"/>
        <v>4.4000000000000004</v>
      </c>
      <c r="T396" t="str" cm="1">
        <f t="array" ref="T396">_xlfn.IFS(
    S396&lt;1, "&lt; 1 an",
    S396&lt;3, "1–3 ani",
    S396&lt;5, "3–5 ani",
    S396&gt;=5, "&gt; 5 ani"
)</f>
        <v>3–5 ani</v>
      </c>
      <c r="U396">
        <f t="shared" si="20"/>
        <v>0</v>
      </c>
    </row>
    <row r="397" spans="1:21" x14ac:dyDescent="0.3">
      <c r="A397">
        <v>1003</v>
      </c>
      <c r="B397" t="s">
        <v>58</v>
      </c>
      <c r="C397" t="s">
        <v>194</v>
      </c>
      <c r="D397" t="s">
        <v>37</v>
      </c>
      <c r="E397" s="1">
        <v>33290</v>
      </c>
      <c r="F397" s="1">
        <v>44022</v>
      </c>
      <c r="G397">
        <v>10</v>
      </c>
      <c r="H397" t="s">
        <v>87</v>
      </c>
      <c r="I397" t="s">
        <v>45</v>
      </c>
      <c r="J397" t="s">
        <v>21</v>
      </c>
      <c r="K397" t="s">
        <v>22</v>
      </c>
      <c r="L397" s="15">
        <v>7650</v>
      </c>
      <c r="M397" t="s">
        <v>23</v>
      </c>
      <c r="N397" s="1">
        <v>45416</v>
      </c>
      <c r="O397" t="s">
        <v>117</v>
      </c>
      <c r="P397" t="s">
        <v>561</v>
      </c>
      <c r="Q397" t="str">
        <f>_xlfn.XLOOKUP(angajati__2[[#This Row],[id_departament]],departamente!A:A,departamente!B:B)</f>
        <v>IT</v>
      </c>
      <c r="R397">
        <f t="shared" si="18"/>
        <v>34</v>
      </c>
      <c r="S397">
        <f t="shared" si="19"/>
        <v>3.8</v>
      </c>
      <c r="T397" t="str" cm="1">
        <f t="array" ref="T397">_xlfn.IFS(
    S397&lt;1, "&lt; 1 an",
    S397&lt;3, "1–3 ani",
    S397&lt;5, "3–5 ani",
    S397&gt;=5, "&gt; 5 ani"
)</f>
        <v>3–5 ani</v>
      </c>
      <c r="U397">
        <f t="shared" si="20"/>
        <v>1</v>
      </c>
    </row>
    <row r="398" spans="1:21" x14ac:dyDescent="0.3">
      <c r="A398">
        <v>1243</v>
      </c>
      <c r="B398" t="s">
        <v>136</v>
      </c>
      <c r="C398" t="s">
        <v>107</v>
      </c>
      <c r="D398" t="s">
        <v>37</v>
      </c>
      <c r="E398" s="1">
        <v>31426</v>
      </c>
      <c r="F398" s="1">
        <v>45439</v>
      </c>
      <c r="G398">
        <v>20</v>
      </c>
      <c r="H398" t="s">
        <v>104</v>
      </c>
      <c r="I398" t="s">
        <v>30</v>
      </c>
      <c r="J398" t="s">
        <v>21</v>
      </c>
      <c r="K398" t="s">
        <v>22</v>
      </c>
      <c r="L398" s="15">
        <v>5350</v>
      </c>
      <c r="M398" t="s">
        <v>32</v>
      </c>
      <c r="P398" t="s">
        <v>562</v>
      </c>
      <c r="Q398" t="str">
        <f>_xlfn.XLOOKUP(angajati__2[[#This Row],[id_departament]],departamente!A:A,departamente!B:B)</f>
        <v>Vânzări</v>
      </c>
      <c r="R398">
        <f t="shared" si="18"/>
        <v>39</v>
      </c>
      <c r="S398">
        <f t="shared" si="19"/>
        <v>1.6</v>
      </c>
      <c r="T398" t="str" cm="1">
        <f t="array" ref="T398">_xlfn.IFS(
    S398&lt;1, "&lt; 1 an",
    S398&lt;3, "1–3 ani",
    S398&lt;5, "3–5 ani",
    S398&gt;=5, "&gt; 5 ani"
)</f>
        <v>1–3 ani</v>
      </c>
      <c r="U398">
        <f t="shared" si="20"/>
        <v>0</v>
      </c>
    </row>
    <row r="399" spans="1:21" x14ac:dyDescent="0.3">
      <c r="A399">
        <v>1309</v>
      </c>
      <c r="B399" t="s">
        <v>92</v>
      </c>
      <c r="C399" t="s">
        <v>144</v>
      </c>
      <c r="D399" t="s">
        <v>37</v>
      </c>
      <c r="E399" s="1">
        <v>29816</v>
      </c>
      <c r="F399" s="1">
        <v>42927</v>
      </c>
      <c r="G399">
        <v>10</v>
      </c>
      <c r="H399" t="s">
        <v>108</v>
      </c>
      <c r="I399" t="s">
        <v>30</v>
      </c>
      <c r="J399" t="s">
        <v>21</v>
      </c>
      <c r="K399" t="s">
        <v>22</v>
      </c>
      <c r="L399" s="15">
        <v>9850</v>
      </c>
      <c r="M399" t="s">
        <v>32</v>
      </c>
      <c r="P399" t="s">
        <v>563</v>
      </c>
      <c r="Q399" t="str">
        <f>_xlfn.XLOOKUP(angajati__2[[#This Row],[id_departament]],departamente!A:A,departamente!B:B)</f>
        <v>IT</v>
      </c>
      <c r="R399">
        <f t="shared" si="18"/>
        <v>44</v>
      </c>
      <c r="S399">
        <f t="shared" si="19"/>
        <v>8.5</v>
      </c>
      <c r="T399" t="str" cm="1">
        <f t="array" ref="T399">_xlfn.IFS(
    S399&lt;1, "&lt; 1 an",
    S399&lt;3, "1–3 ani",
    S399&lt;5, "3–5 ani",
    S399&gt;=5, "&gt; 5 ani"
)</f>
        <v>&gt; 5 ani</v>
      </c>
      <c r="U399">
        <f t="shared" si="20"/>
        <v>0</v>
      </c>
    </row>
    <row r="400" spans="1:21" x14ac:dyDescent="0.3">
      <c r="A400">
        <v>1142</v>
      </c>
      <c r="B400" t="s">
        <v>64</v>
      </c>
      <c r="C400" t="s">
        <v>216</v>
      </c>
      <c r="D400" t="s">
        <v>18</v>
      </c>
      <c r="E400" s="1">
        <v>36134</v>
      </c>
      <c r="F400" s="1">
        <v>44418</v>
      </c>
      <c r="G400">
        <v>20</v>
      </c>
      <c r="H400" t="s">
        <v>68</v>
      </c>
      <c r="I400" t="s">
        <v>45</v>
      </c>
      <c r="J400" t="s">
        <v>21</v>
      </c>
      <c r="K400" t="s">
        <v>40</v>
      </c>
      <c r="L400" s="15">
        <v>3750</v>
      </c>
      <c r="M400" t="s">
        <v>23</v>
      </c>
      <c r="N400" s="1">
        <v>45874</v>
      </c>
      <c r="O400" t="s">
        <v>105</v>
      </c>
      <c r="P400" t="s">
        <v>564</v>
      </c>
      <c r="Q400" t="str">
        <f>_xlfn.XLOOKUP(angajati__2[[#This Row],[id_departament]],departamente!A:A,departamente!B:B)</f>
        <v>Vânzări</v>
      </c>
      <c r="R400">
        <f t="shared" si="18"/>
        <v>27</v>
      </c>
      <c r="S400">
        <f t="shared" si="19"/>
        <v>4</v>
      </c>
      <c r="T400" t="str" cm="1">
        <f t="array" ref="T400">_xlfn.IFS(
    S400&lt;1, "&lt; 1 an",
    S400&lt;3, "1–3 ani",
    S400&lt;5, "3–5 ani",
    S400&gt;=5, "&gt; 5 ani"
)</f>
        <v>3–5 ani</v>
      </c>
      <c r="U400">
        <f t="shared" si="20"/>
        <v>1</v>
      </c>
    </row>
    <row r="401" spans="1:21" x14ac:dyDescent="0.3">
      <c r="A401">
        <v>1224</v>
      </c>
      <c r="B401" t="s">
        <v>89</v>
      </c>
      <c r="C401" t="s">
        <v>273</v>
      </c>
      <c r="D401" t="s">
        <v>18</v>
      </c>
      <c r="E401" s="1">
        <v>31606</v>
      </c>
      <c r="F401" s="1">
        <v>44842</v>
      </c>
      <c r="G401">
        <v>70</v>
      </c>
      <c r="H401" t="s">
        <v>116</v>
      </c>
      <c r="I401" t="s">
        <v>30</v>
      </c>
      <c r="J401" t="s">
        <v>31</v>
      </c>
      <c r="K401" t="s">
        <v>22</v>
      </c>
      <c r="L401" s="15">
        <v>4600</v>
      </c>
      <c r="M401" t="s">
        <v>32</v>
      </c>
      <c r="P401" t="s">
        <v>565</v>
      </c>
      <c r="Q401" t="str">
        <f>_xlfn.XLOOKUP(angajati__2[[#This Row],[id_departament]],departamente!A:A,departamente!B:B)</f>
        <v>Operațiuni</v>
      </c>
      <c r="R401">
        <f t="shared" si="18"/>
        <v>39</v>
      </c>
      <c r="S401">
        <f t="shared" si="19"/>
        <v>3.2</v>
      </c>
      <c r="T401" t="str" cm="1">
        <f t="array" ref="T401">_xlfn.IFS(
    S401&lt;1, "&lt; 1 an",
    S401&lt;3, "1–3 ani",
    S401&lt;5, "3–5 ani",
    S401&gt;=5, "&gt; 5 ani"
)</f>
        <v>3–5 ani</v>
      </c>
      <c r="U401">
        <f t="shared" si="20"/>
        <v>0</v>
      </c>
    </row>
    <row r="402" spans="1:21" x14ac:dyDescent="0.3">
      <c r="A402">
        <v>1353</v>
      </c>
      <c r="B402" t="s">
        <v>125</v>
      </c>
      <c r="C402" t="s">
        <v>17</v>
      </c>
      <c r="D402" t="s">
        <v>18</v>
      </c>
      <c r="E402" s="1">
        <v>28315</v>
      </c>
      <c r="F402" s="1">
        <v>45409</v>
      </c>
      <c r="G402">
        <v>70</v>
      </c>
      <c r="H402" t="s">
        <v>116</v>
      </c>
      <c r="I402" t="s">
        <v>30</v>
      </c>
      <c r="J402" t="s">
        <v>21</v>
      </c>
      <c r="K402" t="s">
        <v>22</v>
      </c>
      <c r="L402" s="15">
        <v>4150</v>
      </c>
      <c r="M402" t="s">
        <v>32</v>
      </c>
      <c r="P402" t="s">
        <v>566</v>
      </c>
      <c r="Q402" t="str">
        <f>_xlfn.XLOOKUP(angajati__2[[#This Row],[id_departament]],departamente!A:A,departamente!B:B)</f>
        <v>Operațiuni</v>
      </c>
      <c r="R402">
        <f t="shared" si="18"/>
        <v>48</v>
      </c>
      <c r="S402">
        <f t="shared" si="19"/>
        <v>1.7</v>
      </c>
      <c r="T402" t="str" cm="1">
        <f t="array" ref="T402">_xlfn.IFS(
    S402&lt;1, "&lt; 1 an",
    S402&lt;3, "1–3 ani",
    S402&lt;5, "3–5 ani",
    S402&gt;=5, "&gt; 5 ani"
)</f>
        <v>1–3 ani</v>
      </c>
      <c r="U402">
        <f t="shared" si="20"/>
        <v>0</v>
      </c>
    </row>
    <row r="403" spans="1:21" x14ac:dyDescent="0.3">
      <c r="A403">
        <v>1184</v>
      </c>
      <c r="B403" t="s">
        <v>125</v>
      </c>
      <c r="C403" t="s">
        <v>200</v>
      </c>
      <c r="D403" t="s">
        <v>18</v>
      </c>
      <c r="E403" s="1">
        <v>28350</v>
      </c>
      <c r="F403" s="1">
        <v>45447</v>
      </c>
      <c r="G403">
        <v>60</v>
      </c>
      <c r="H403" t="s">
        <v>78</v>
      </c>
      <c r="I403" t="s">
        <v>30</v>
      </c>
      <c r="J403" t="s">
        <v>21</v>
      </c>
      <c r="K403" t="s">
        <v>22</v>
      </c>
      <c r="L403" s="15">
        <v>3750</v>
      </c>
      <c r="M403" t="s">
        <v>32</v>
      </c>
      <c r="P403" t="s">
        <v>567</v>
      </c>
      <c r="Q403" t="str">
        <f>_xlfn.XLOOKUP(angajati__2[[#This Row],[id_departament]],departamente!A:A,departamente!B:B)</f>
        <v>Suport Clienți</v>
      </c>
      <c r="R403">
        <f t="shared" si="18"/>
        <v>48</v>
      </c>
      <c r="S403">
        <f t="shared" si="19"/>
        <v>1.6</v>
      </c>
      <c r="T403" t="str" cm="1">
        <f t="array" ref="T403">_xlfn.IFS(
    S403&lt;1, "&lt; 1 an",
    S403&lt;3, "1–3 ani",
    S403&lt;5, "3–5 ani",
    S403&gt;=5, "&gt; 5 ani"
)</f>
        <v>1–3 ani</v>
      </c>
      <c r="U403">
        <f t="shared" si="20"/>
        <v>0</v>
      </c>
    </row>
    <row r="404" spans="1:21" x14ac:dyDescent="0.3">
      <c r="A404">
        <v>1332</v>
      </c>
      <c r="B404" t="s">
        <v>64</v>
      </c>
      <c r="C404" t="s">
        <v>107</v>
      </c>
      <c r="D404" t="s">
        <v>37</v>
      </c>
      <c r="E404" s="1">
        <v>30268</v>
      </c>
      <c r="F404" s="1">
        <v>42727</v>
      </c>
      <c r="G404">
        <v>10</v>
      </c>
      <c r="H404" t="s">
        <v>49</v>
      </c>
      <c r="I404" t="s">
        <v>39</v>
      </c>
      <c r="J404" t="s">
        <v>21</v>
      </c>
      <c r="K404" t="s">
        <v>22</v>
      </c>
      <c r="L404" s="15">
        <v>13400</v>
      </c>
      <c r="M404" t="s">
        <v>32</v>
      </c>
      <c r="P404" t="s">
        <v>568</v>
      </c>
      <c r="Q404" t="str">
        <f>_xlfn.XLOOKUP(angajati__2[[#This Row],[id_departament]],departamente!A:A,departamente!B:B)</f>
        <v>IT</v>
      </c>
      <c r="R404">
        <f t="shared" si="18"/>
        <v>43</v>
      </c>
      <c r="S404">
        <f t="shared" si="19"/>
        <v>9</v>
      </c>
      <c r="T404" t="str" cm="1">
        <f t="array" ref="T404">_xlfn.IFS(
    S404&lt;1, "&lt; 1 an",
    S404&lt;3, "1–3 ani",
    S404&lt;5, "3–5 ani",
    S404&gt;=5, "&gt; 5 ani"
)</f>
        <v>&gt; 5 ani</v>
      </c>
      <c r="U404">
        <f t="shared" si="20"/>
        <v>0</v>
      </c>
    </row>
    <row r="405" spans="1:21" x14ac:dyDescent="0.3">
      <c r="A405">
        <v>1435</v>
      </c>
      <c r="B405" t="s">
        <v>94</v>
      </c>
      <c r="C405" t="s">
        <v>81</v>
      </c>
      <c r="D405" t="s">
        <v>37</v>
      </c>
      <c r="E405" s="1">
        <v>34973</v>
      </c>
      <c r="F405" s="1">
        <v>43884</v>
      </c>
      <c r="G405">
        <v>80</v>
      </c>
      <c r="H405" t="s">
        <v>159</v>
      </c>
      <c r="I405" t="s">
        <v>39</v>
      </c>
      <c r="J405" t="s">
        <v>21</v>
      </c>
      <c r="K405" t="s">
        <v>22</v>
      </c>
      <c r="L405" s="15">
        <v>11750</v>
      </c>
      <c r="M405" t="s">
        <v>32</v>
      </c>
      <c r="P405" t="s">
        <v>569</v>
      </c>
      <c r="Q405" t="str">
        <f>_xlfn.XLOOKUP(angajati__2[[#This Row],[id_departament]],departamente!A:A,departamente!B:B)</f>
        <v>Juridic</v>
      </c>
      <c r="R405">
        <f t="shared" si="18"/>
        <v>30</v>
      </c>
      <c r="S405">
        <f t="shared" si="19"/>
        <v>5.9</v>
      </c>
      <c r="T405" t="str" cm="1">
        <f t="array" ref="T405">_xlfn.IFS(
    S405&lt;1, "&lt; 1 an",
    S405&lt;3, "1–3 ani",
    S405&lt;5, "3–5 ani",
    S405&gt;=5, "&gt; 5 ani"
)</f>
        <v>&gt; 5 ani</v>
      </c>
      <c r="U405">
        <f t="shared" si="20"/>
        <v>0</v>
      </c>
    </row>
    <row r="406" spans="1:21" x14ac:dyDescent="0.3">
      <c r="A406">
        <v>1418</v>
      </c>
      <c r="B406" t="s">
        <v>58</v>
      </c>
      <c r="C406" t="s">
        <v>65</v>
      </c>
      <c r="D406" t="s">
        <v>18</v>
      </c>
      <c r="E406" s="1">
        <v>36278</v>
      </c>
      <c r="F406" s="1">
        <v>44456</v>
      </c>
      <c r="G406">
        <v>20</v>
      </c>
      <c r="H406" t="s">
        <v>104</v>
      </c>
      <c r="I406" t="s">
        <v>30</v>
      </c>
      <c r="J406" t="s">
        <v>21</v>
      </c>
      <c r="K406" t="s">
        <v>22</v>
      </c>
      <c r="L406" s="15">
        <v>4750</v>
      </c>
      <c r="M406" t="s">
        <v>23</v>
      </c>
      <c r="N406" s="1">
        <v>46009</v>
      </c>
      <c r="O406" t="s">
        <v>62</v>
      </c>
      <c r="P406" t="s">
        <v>570</v>
      </c>
      <c r="Q406" t="str">
        <f>_xlfn.XLOOKUP(angajati__2[[#This Row],[id_departament]],departamente!A:A,departamente!B:B)</f>
        <v>Vânzări</v>
      </c>
      <c r="R406">
        <f t="shared" si="18"/>
        <v>26</v>
      </c>
      <c r="S406">
        <f t="shared" si="19"/>
        <v>4.3</v>
      </c>
      <c r="T406" t="str" cm="1">
        <f t="array" ref="T406">_xlfn.IFS(
    S406&lt;1, "&lt; 1 an",
    S406&lt;3, "1–3 ani",
    S406&lt;5, "3–5 ani",
    S406&gt;=5, "&gt; 5 ani"
)</f>
        <v>3–5 ani</v>
      </c>
      <c r="U406">
        <f t="shared" si="20"/>
        <v>1</v>
      </c>
    </row>
    <row r="407" spans="1:21" x14ac:dyDescent="0.3">
      <c r="A407">
        <v>1161</v>
      </c>
      <c r="B407" t="s">
        <v>147</v>
      </c>
      <c r="C407" t="s">
        <v>27</v>
      </c>
      <c r="D407" t="s">
        <v>37</v>
      </c>
      <c r="E407" s="1">
        <v>32457</v>
      </c>
      <c r="F407" s="1">
        <v>44745</v>
      </c>
      <c r="G407">
        <v>10</v>
      </c>
      <c r="H407" t="s">
        <v>49</v>
      </c>
      <c r="I407" t="s">
        <v>45</v>
      </c>
      <c r="J407" t="s">
        <v>21</v>
      </c>
      <c r="K407" t="s">
        <v>22</v>
      </c>
      <c r="L407" s="15">
        <v>5750</v>
      </c>
      <c r="M407" t="s">
        <v>32</v>
      </c>
      <c r="P407" t="s">
        <v>571</v>
      </c>
      <c r="Q407" t="str">
        <f>_xlfn.XLOOKUP(angajati__2[[#This Row],[id_departament]],departamente!A:A,departamente!B:B)</f>
        <v>IT</v>
      </c>
      <c r="R407">
        <f t="shared" si="18"/>
        <v>37</v>
      </c>
      <c r="S407">
        <f t="shared" si="19"/>
        <v>3.5</v>
      </c>
      <c r="T407" t="str" cm="1">
        <f t="array" ref="T407">_xlfn.IFS(
    S407&lt;1, "&lt; 1 an",
    S407&lt;3, "1–3 ani",
    S407&lt;5, "3–5 ani",
    S407&gt;=5, "&gt; 5 ani"
)</f>
        <v>3–5 ani</v>
      </c>
      <c r="U407">
        <f t="shared" si="20"/>
        <v>0</v>
      </c>
    </row>
    <row r="408" spans="1:21" x14ac:dyDescent="0.3">
      <c r="A408">
        <v>1337</v>
      </c>
      <c r="B408" t="s">
        <v>188</v>
      </c>
      <c r="C408" t="s">
        <v>273</v>
      </c>
      <c r="D408" t="s">
        <v>18</v>
      </c>
      <c r="E408" s="1">
        <v>33769</v>
      </c>
      <c r="F408" s="1">
        <v>43254</v>
      </c>
      <c r="G408">
        <v>30</v>
      </c>
      <c r="H408" t="s">
        <v>56</v>
      </c>
      <c r="I408" t="s">
        <v>30</v>
      </c>
      <c r="J408" t="s">
        <v>46</v>
      </c>
      <c r="K408" t="s">
        <v>22</v>
      </c>
      <c r="L408" s="15">
        <v>6150</v>
      </c>
      <c r="M408" t="s">
        <v>23</v>
      </c>
      <c r="N408" s="1">
        <v>44613</v>
      </c>
      <c r="O408" t="s">
        <v>24</v>
      </c>
      <c r="P408" t="s">
        <v>572</v>
      </c>
      <c r="Q408" t="str">
        <f>_xlfn.XLOOKUP(angajati__2[[#This Row],[id_departament]],departamente!A:A,departamente!B:B)</f>
        <v>Marketing</v>
      </c>
      <c r="R408">
        <f t="shared" si="18"/>
        <v>33</v>
      </c>
      <c r="S408">
        <f t="shared" si="19"/>
        <v>3.7</v>
      </c>
      <c r="T408" t="str" cm="1">
        <f t="array" ref="T408">_xlfn.IFS(
    S408&lt;1, "&lt; 1 an",
    S408&lt;3, "1–3 ani",
    S408&lt;5, "3–5 ani",
    S408&gt;=5, "&gt; 5 ani"
)</f>
        <v>3–5 ani</v>
      </c>
      <c r="U408">
        <f t="shared" si="20"/>
        <v>1</v>
      </c>
    </row>
    <row r="409" spans="1:21" x14ac:dyDescent="0.3">
      <c r="A409">
        <v>1401</v>
      </c>
      <c r="B409" t="s">
        <v>180</v>
      </c>
      <c r="C409" t="s">
        <v>98</v>
      </c>
      <c r="D409" t="s">
        <v>37</v>
      </c>
      <c r="E409" s="1">
        <v>30504</v>
      </c>
      <c r="F409" s="1">
        <v>44696</v>
      </c>
      <c r="G409">
        <v>60</v>
      </c>
      <c r="H409" t="s">
        <v>78</v>
      </c>
      <c r="I409" t="s">
        <v>30</v>
      </c>
      <c r="J409" t="s">
        <v>52</v>
      </c>
      <c r="K409" t="s">
        <v>22</v>
      </c>
      <c r="L409" s="15">
        <v>3650</v>
      </c>
      <c r="M409" t="s">
        <v>32</v>
      </c>
      <c r="P409" t="s">
        <v>573</v>
      </c>
      <c r="Q409" t="str">
        <f>_xlfn.XLOOKUP(angajati__2[[#This Row],[id_departament]],departamente!A:A,departamente!B:B)</f>
        <v>Suport Clienți</v>
      </c>
      <c r="R409">
        <f t="shared" si="18"/>
        <v>42</v>
      </c>
      <c r="S409">
        <f t="shared" si="19"/>
        <v>3.6</v>
      </c>
      <c r="T409" t="str" cm="1">
        <f t="array" ref="T409">_xlfn.IFS(
    S409&lt;1, "&lt; 1 an",
    S409&lt;3, "1–3 ani",
    S409&lt;5, "3–5 ani",
    S409&gt;=5, "&gt; 5 ani"
)</f>
        <v>3–5 ani</v>
      </c>
      <c r="U409">
        <f t="shared" si="20"/>
        <v>0</v>
      </c>
    </row>
    <row r="410" spans="1:21" x14ac:dyDescent="0.3">
      <c r="A410">
        <v>1220</v>
      </c>
      <c r="B410" t="s">
        <v>58</v>
      </c>
      <c r="C410" t="s">
        <v>247</v>
      </c>
      <c r="D410" t="s">
        <v>18</v>
      </c>
      <c r="E410" s="1">
        <v>28587</v>
      </c>
      <c r="F410" s="1">
        <v>44167</v>
      </c>
      <c r="G410">
        <v>60</v>
      </c>
      <c r="H410" t="s">
        <v>29</v>
      </c>
      <c r="I410" t="s">
        <v>30</v>
      </c>
      <c r="J410" t="s">
        <v>31</v>
      </c>
      <c r="K410" t="s">
        <v>22</v>
      </c>
      <c r="L410" s="15">
        <v>3850</v>
      </c>
      <c r="M410" t="s">
        <v>23</v>
      </c>
      <c r="N410" s="1">
        <v>44844</v>
      </c>
      <c r="O410" t="s">
        <v>152</v>
      </c>
      <c r="P410" t="s">
        <v>574</v>
      </c>
      <c r="Q410" t="str">
        <f>_xlfn.XLOOKUP(angajati__2[[#This Row],[id_departament]],departamente!A:A,departamente!B:B)</f>
        <v>Suport Clienți</v>
      </c>
      <c r="R410">
        <f t="shared" si="18"/>
        <v>47</v>
      </c>
      <c r="S410">
        <f t="shared" si="19"/>
        <v>1.9</v>
      </c>
      <c r="T410" t="str" cm="1">
        <f t="array" ref="T410">_xlfn.IFS(
    S410&lt;1, "&lt; 1 an",
    S410&lt;3, "1–3 ani",
    S410&lt;5, "3–5 ani",
    S410&gt;=5, "&gt; 5 ani"
)</f>
        <v>1–3 ani</v>
      </c>
      <c r="U410">
        <f t="shared" si="20"/>
        <v>1</v>
      </c>
    </row>
    <row r="411" spans="1:21" x14ac:dyDescent="0.3">
      <c r="A411">
        <v>1381</v>
      </c>
      <c r="B411" t="s">
        <v>125</v>
      </c>
      <c r="C411" t="s">
        <v>216</v>
      </c>
      <c r="D411" t="s">
        <v>18</v>
      </c>
      <c r="E411" s="1">
        <v>30444</v>
      </c>
      <c r="F411" s="1">
        <v>43943</v>
      </c>
      <c r="G411">
        <v>80</v>
      </c>
      <c r="H411" t="s">
        <v>159</v>
      </c>
      <c r="I411" t="s">
        <v>45</v>
      </c>
      <c r="J411" t="s">
        <v>21</v>
      </c>
      <c r="K411" t="s">
        <v>40</v>
      </c>
      <c r="L411" s="15">
        <v>5900</v>
      </c>
      <c r="M411" t="s">
        <v>32</v>
      </c>
      <c r="P411" t="s">
        <v>575</v>
      </c>
      <c r="Q411" t="str">
        <f>_xlfn.XLOOKUP(angajati__2[[#This Row],[id_departament]],departamente!A:A,departamente!B:B)</f>
        <v>Juridic</v>
      </c>
      <c r="R411">
        <f t="shared" si="18"/>
        <v>42</v>
      </c>
      <c r="S411">
        <f t="shared" si="19"/>
        <v>5.7</v>
      </c>
      <c r="T411" t="str" cm="1">
        <f t="array" ref="T411">_xlfn.IFS(
    S411&lt;1, "&lt; 1 an",
    S411&lt;3, "1–3 ani",
    S411&lt;5, "3–5 ani",
    S411&gt;=5, "&gt; 5 ani"
)</f>
        <v>&gt; 5 ani</v>
      </c>
      <c r="U411">
        <f t="shared" si="20"/>
        <v>0</v>
      </c>
    </row>
    <row r="412" spans="1:21" x14ac:dyDescent="0.3">
      <c r="A412">
        <v>1236</v>
      </c>
      <c r="B412" t="s">
        <v>396</v>
      </c>
      <c r="C412" t="s">
        <v>184</v>
      </c>
      <c r="D412" t="s">
        <v>37</v>
      </c>
      <c r="E412" s="1">
        <v>34320</v>
      </c>
      <c r="F412" s="1">
        <v>43712</v>
      </c>
      <c r="G412">
        <v>80</v>
      </c>
      <c r="H412" t="s">
        <v>159</v>
      </c>
      <c r="I412" t="s">
        <v>30</v>
      </c>
      <c r="J412" t="s">
        <v>21</v>
      </c>
      <c r="K412" t="s">
        <v>22</v>
      </c>
      <c r="L412" s="15">
        <v>8600</v>
      </c>
      <c r="M412" t="s">
        <v>32</v>
      </c>
      <c r="P412" t="s">
        <v>576</v>
      </c>
      <c r="Q412" t="str">
        <f>_xlfn.XLOOKUP(angajati__2[[#This Row],[id_departament]],departamente!A:A,departamente!B:B)</f>
        <v>Juridic</v>
      </c>
      <c r="R412">
        <f t="shared" si="18"/>
        <v>32</v>
      </c>
      <c r="S412">
        <f t="shared" si="19"/>
        <v>6.3</v>
      </c>
      <c r="T412" t="str" cm="1">
        <f t="array" ref="T412">_xlfn.IFS(
    S412&lt;1, "&lt; 1 an",
    S412&lt;3, "1–3 ani",
    S412&lt;5, "3–5 ani",
    S412&gt;=5, "&gt; 5 ani"
)</f>
        <v>&gt; 5 ani</v>
      </c>
      <c r="U412">
        <f t="shared" si="20"/>
        <v>0</v>
      </c>
    </row>
    <row r="413" spans="1:21" x14ac:dyDescent="0.3">
      <c r="A413">
        <v>1439</v>
      </c>
      <c r="B413" t="s">
        <v>54</v>
      </c>
      <c r="C413" t="s">
        <v>140</v>
      </c>
      <c r="D413" t="s">
        <v>37</v>
      </c>
      <c r="E413" s="1">
        <v>34392</v>
      </c>
      <c r="F413" s="1">
        <v>43552</v>
      </c>
      <c r="G413">
        <v>60</v>
      </c>
      <c r="H413" t="s">
        <v>29</v>
      </c>
      <c r="I413" t="s">
        <v>30</v>
      </c>
      <c r="J413" t="s">
        <v>52</v>
      </c>
      <c r="K413" t="s">
        <v>40</v>
      </c>
      <c r="L413" s="15">
        <v>4350</v>
      </c>
      <c r="M413" t="s">
        <v>23</v>
      </c>
      <c r="N413" s="1">
        <v>45837</v>
      </c>
      <c r="O413" t="s">
        <v>24</v>
      </c>
      <c r="P413" t="s">
        <v>577</v>
      </c>
      <c r="Q413" t="str">
        <f>_xlfn.XLOOKUP(angajati__2[[#This Row],[id_departament]],departamente!A:A,departamente!B:B)</f>
        <v>Suport Clienți</v>
      </c>
      <c r="R413">
        <f t="shared" si="18"/>
        <v>31</v>
      </c>
      <c r="S413">
        <f t="shared" si="19"/>
        <v>6.3</v>
      </c>
      <c r="T413" t="str" cm="1">
        <f t="array" ref="T413">_xlfn.IFS(
    S413&lt;1, "&lt; 1 an",
    S413&lt;3, "1–3 ani",
    S413&lt;5, "3–5 ani",
    S413&gt;=5, "&gt; 5 ani"
)</f>
        <v>&gt; 5 ani</v>
      </c>
      <c r="U413">
        <f t="shared" si="20"/>
        <v>1</v>
      </c>
    </row>
    <row r="414" spans="1:21" x14ac:dyDescent="0.3">
      <c r="A414">
        <v>1118</v>
      </c>
      <c r="B414" t="s">
        <v>188</v>
      </c>
      <c r="C414" t="s">
        <v>90</v>
      </c>
      <c r="D414" t="s">
        <v>18</v>
      </c>
      <c r="E414" s="1">
        <v>34573</v>
      </c>
      <c r="F414" s="1">
        <v>43811</v>
      </c>
      <c r="G414">
        <v>10</v>
      </c>
      <c r="H414" t="s">
        <v>44</v>
      </c>
      <c r="I414" t="s">
        <v>45</v>
      </c>
      <c r="J414" t="s">
        <v>21</v>
      </c>
      <c r="K414" t="s">
        <v>22</v>
      </c>
      <c r="L414" s="15">
        <v>6150</v>
      </c>
      <c r="M414" t="s">
        <v>32</v>
      </c>
      <c r="P414" t="s">
        <v>578</v>
      </c>
      <c r="Q414" t="str">
        <f>_xlfn.XLOOKUP(angajati__2[[#This Row],[id_departament]],departamente!A:A,departamente!B:B)</f>
        <v>IT</v>
      </c>
      <c r="R414">
        <f t="shared" si="18"/>
        <v>31</v>
      </c>
      <c r="S414">
        <f t="shared" si="19"/>
        <v>6.1</v>
      </c>
      <c r="T414" t="str" cm="1">
        <f t="array" ref="T414">_xlfn.IFS(
    S414&lt;1, "&lt; 1 an",
    S414&lt;3, "1–3 ani",
    S414&lt;5, "3–5 ani",
    S414&gt;=5, "&gt; 5 ani"
)</f>
        <v>&gt; 5 ani</v>
      </c>
      <c r="U414">
        <f t="shared" si="20"/>
        <v>0</v>
      </c>
    </row>
    <row r="415" spans="1:21" x14ac:dyDescent="0.3">
      <c r="A415">
        <v>1342</v>
      </c>
      <c r="B415" t="s">
        <v>115</v>
      </c>
      <c r="C415" t="s">
        <v>128</v>
      </c>
      <c r="D415" t="s">
        <v>18</v>
      </c>
      <c r="E415" s="1">
        <v>32910</v>
      </c>
      <c r="F415" s="1">
        <v>44352</v>
      </c>
      <c r="G415">
        <v>30</v>
      </c>
      <c r="H415" t="s">
        <v>209</v>
      </c>
      <c r="I415" t="s">
        <v>45</v>
      </c>
      <c r="J415" t="s">
        <v>46</v>
      </c>
      <c r="K415" t="s">
        <v>22</v>
      </c>
      <c r="L415" s="15">
        <v>3800</v>
      </c>
      <c r="M415" t="s">
        <v>23</v>
      </c>
      <c r="N415" s="1">
        <v>45622</v>
      </c>
      <c r="O415" t="s">
        <v>105</v>
      </c>
      <c r="P415" t="s">
        <v>579</v>
      </c>
      <c r="Q415" t="str">
        <f>_xlfn.XLOOKUP(angajati__2[[#This Row],[id_departament]],departamente!A:A,departamente!B:B)</f>
        <v>Marketing</v>
      </c>
      <c r="R415">
        <f t="shared" si="18"/>
        <v>35</v>
      </c>
      <c r="S415">
        <f t="shared" si="19"/>
        <v>3.5</v>
      </c>
      <c r="T415" t="str" cm="1">
        <f t="array" ref="T415">_xlfn.IFS(
    S415&lt;1, "&lt; 1 an",
    S415&lt;3, "1–3 ani",
    S415&lt;5, "3–5 ani",
    S415&gt;=5, "&gt; 5 ani"
)</f>
        <v>3–5 ani</v>
      </c>
      <c r="U415">
        <f t="shared" si="20"/>
        <v>1</v>
      </c>
    </row>
    <row r="416" spans="1:21" x14ac:dyDescent="0.3">
      <c r="A416">
        <v>1002</v>
      </c>
      <c r="B416" t="s">
        <v>64</v>
      </c>
      <c r="C416" t="s">
        <v>110</v>
      </c>
      <c r="D416" t="s">
        <v>37</v>
      </c>
      <c r="E416" s="1">
        <v>34746</v>
      </c>
      <c r="F416" s="1">
        <v>43964</v>
      </c>
      <c r="G416">
        <v>70</v>
      </c>
      <c r="H416" t="s">
        <v>38</v>
      </c>
      <c r="I416" t="s">
        <v>30</v>
      </c>
      <c r="J416" t="s">
        <v>46</v>
      </c>
      <c r="K416" t="s">
        <v>22</v>
      </c>
      <c r="L416" s="15">
        <v>4700</v>
      </c>
      <c r="M416" t="s">
        <v>32</v>
      </c>
      <c r="P416" t="s">
        <v>580</v>
      </c>
      <c r="Q416" t="str">
        <f>_xlfn.XLOOKUP(angajati__2[[#This Row],[id_departament]],departamente!A:A,departamente!B:B)</f>
        <v>Operațiuni</v>
      </c>
      <c r="R416">
        <f t="shared" si="18"/>
        <v>30</v>
      </c>
      <c r="S416">
        <f t="shared" si="19"/>
        <v>5.6</v>
      </c>
      <c r="T416" t="str" cm="1">
        <f t="array" ref="T416">_xlfn.IFS(
    S416&lt;1, "&lt; 1 an",
    S416&lt;3, "1–3 ani",
    S416&lt;5, "3–5 ani",
    S416&gt;=5, "&gt; 5 ani"
)</f>
        <v>&gt; 5 ani</v>
      </c>
      <c r="U416">
        <f t="shared" si="20"/>
        <v>0</v>
      </c>
    </row>
    <row r="417" spans="1:21" x14ac:dyDescent="0.3">
      <c r="A417">
        <v>1114</v>
      </c>
      <c r="B417" t="s">
        <v>42</v>
      </c>
      <c r="C417" t="s">
        <v>213</v>
      </c>
      <c r="D417" t="s">
        <v>18</v>
      </c>
      <c r="E417" s="1">
        <v>32558</v>
      </c>
      <c r="F417" s="1">
        <v>43382</v>
      </c>
      <c r="G417">
        <v>10</v>
      </c>
      <c r="H417" t="s">
        <v>275</v>
      </c>
      <c r="I417" t="s">
        <v>20</v>
      </c>
      <c r="J417" t="s">
        <v>31</v>
      </c>
      <c r="K417" t="s">
        <v>22</v>
      </c>
      <c r="L417" s="15">
        <v>18200</v>
      </c>
      <c r="M417" t="s">
        <v>32</v>
      </c>
      <c r="P417" t="s">
        <v>581</v>
      </c>
      <c r="Q417" t="str">
        <f>_xlfn.XLOOKUP(angajati__2[[#This Row],[id_departament]],departamente!A:A,departamente!B:B)</f>
        <v>IT</v>
      </c>
      <c r="R417">
        <f t="shared" si="18"/>
        <v>36</v>
      </c>
      <c r="S417">
        <f t="shared" si="19"/>
        <v>7.2</v>
      </c>
      <c r="T417" t="str" cm="1">
        <f t="array" ref="T417">_xlfn.IFS(
    S417&lt;1, "&lt; 1 an",
    S417&lt;3, "1–3 ani",
    S417&lt;5, "3–5 ani",
    S417&gt;=5, "&gt; 5 ani"
)</f>
        <v>&gt; 5 ani</v>
      </c>
      <c r="U417">
        <f t="shared" si="20"/>
        <v>0</v>
      </c>
    </row>
    <row r="418" spans="1:21" x14ac:dyDescent="0.3">
      <c r="A418">
        <v>1451</v>
      </c>
      <c r="B418" t="s">
        <v>150</v>
      </c>
      <c r="C418" t="s">
        <v>163</v>
      </c>
      <c r="D418" t="s">
        <v>18</v>
      </c>
      <c r="E418" s="1">
        <v>34008</v>
      </c>
      <c r="F418" s="1">
        <v>43548</v>
      </c>
      <c r="G418">
        <v>20</v>
      </c>
      <c r="H418" t="s">
        <v>68</v>
      </c>
      <c r="I418" t="s">
        <v>30</v>
      </c>
      <c r="J418" t="s">
        <v>21</v>
      </c>
      <c r="K418" t="s">
        <v>22</v>
      </c>
      <c r="L418" s="15">
        <v>6550</v>
      </c>
      <c r="M418" t="s">
        <v>32</v>
      </c>
      <c r="P418" t="s">
        <v>583</v>
      </c>
      <c r="Q418" t="str">
        <f>_xlfn.XLOOKUP(angajati__2[[#This Row],[id_departament]],departamente!A:A,departamente!B:B)</f>
        <v>Vânzări</v>
      </c>
      <c r="R418">
        <f t="shared" si="18"/>
        <v>32</v>
      </c>
      <c r="S418">
        <f t="shared" si="19"/>
        <v>6.8</v>
      </c>
      <c r="T418" t="str" cm="1">
        <f t="array" ref="T418">_xlfn.IFS(
    S418&lt;1, "&lt; 1 an",
    S418&lt;3, "1–3 ani",
    S418&lt;5, "3–5 ani",
    S418&gt;=5, "&gt; 5 ani"
)</f>
        <v>&gt; 5 ani</v>
      </c>
      <c r="U418">
        <f t="shared" si="20"/>
        <v>0</v>
      </c>
    </row>
    <row r="419" spans="1:21" x14ac:dyDescent="0.3">
      <c r="A419">
        <v>1175</v>
      </c>
      <c r="B419" t="s">
        <v>115</v>
      </c>
      <c r="C419" t="s">
        <v>128</v>
      </c>
      <c r="D419" t="s">
        <v>18</v>
      </c>
      <c r="E419" s="1">
        <v>28922</v>
      </c>
      <c r="F419" s="1">
        <v>42540</v>
      </c>
      <c r="G419">
        <v>30</v>
      </c>
      <c r="H419" t="s">
        <v>56</v>
      </c>
      <c r="I419" t="s">
        <v>30</v>
      </c>
      <c r="J419" t="s">
        <v>46</v>
      </c>
      <c r="K419" t="s">
        <v>22</v>
      </c>
      <c r="L419" s="15">
        <v>5950</v>
      </c>
      <c r="M419" t="s">
        <v>32</v>
      </c>
      <c r="P419" t="s">
        <v>584</v>
      </c>
      <c r="Q419" t="str">
        <f>_xlfn.XLOOKUP(angajati__2[[#This Row],[id_departament]],departamente!A:A,departamente!B:B)</f>
        <v>Marketing</v>
      </c>
      <c r="R419">
        <f t="shared" si="18"/>
        <v>46</v>
      </c>
      <c r="S419">
        <f t="shared" si="19"/>
        <v>9.5</v>
      </c>
      <c r="T419" t="str" cm="1">
        <f t="array" ref="T419">_xlfn.IFS(
    S419&lt;1, "&lt; 1 an",
    S419&lt;3, "1–3 ani",
    S419&lt;5, "3–5 ani",
    S419&gt;=5, "&gt; 5 ani"
)</f>
        <v>&gt; 5 ani</v>
      </c>
      <c r="U419">
        <f t="shared" si="20"/>
        <v>0</v>
      </c>
    </row>
    <row r="420" spans="1:21" x14ac:dyDescent="0.3">
      <c r="A420">
        <v>1254</v>
      </c>
      <c r="B420" t="s">
        <v>58</v>
      </c>
      <c r="C420" t="s">
        <v>131</v>
      </c>
      <c r="D420" t="s">
        <v>18</v>
      </c>
      <c r="E420" s="1">
        <v>33031</v>
      </c>
      <c r="F420" s="1">
        <v>44808</v>
      </c>
      <c r="G420">
        <v>10</v>
      </c>
      <c r="H420" t="s">
        <v>275</v>
      </c>
      <c r="I420" t="s">
        <v>20</v>
      </c>
      <c r="J420" t="s">
        <v>21</v>
      </c>
      <c r="K420" t="s">
        <v>22</v>
      </c>
      <c r="L420" s="15">
        <v>15450</v>
      </c>
      <c r="M420" t="s">
        <v>32</v>
      </c>
      <c r="P420" t="s">
        <v>585</v>
      </c>
      <c r="Q420" t="str">
        <f>_xlfn.XLOOKUP(angajati__2[[#This Row],[id_departament]],departamente!A:A,departamente!B:B)</f>
        <v>IT</v>
      </c>
      <c r="R420">
        <f t="shared" si="18"/>
        <v>35</v>
      </c>
      <c r="S420">
        <f t="shared" si="19"/>
        <v>3.3</v>
      </c>
      <c r="T420" t="str" cm="1">
        <f t="array" ref="T420">_xlfn.IFS(
    S420&lt;1, "&lt; 1 an",
    S420&lt;3, "1–3 ani",
    S420&lt;5, "3–5 ani",
    S420&gt;=5, "&gt; 5 ani"
)</f>
        <v>3–5 ani</v>
      </c>
      <c r="U420">
        <f t="shared" si="20"/>
        <v>0</v>
      </c>
    </row>
    <row r="421" spans="1:21" x14ac:dyDescent="0.3">
      <c r="A421">
        <v>1433</v>
      </c>
      <c r="B421" t="s">
        <v>204</v>
      </c>
      <c r="C421" t="s">
        <v>216</v>
      </c>
      <c r="D421" t="s">
        <v>18</v>
      </c>
      <c r="E421" s="1">
        <v>32832</v>
      </c>
      <c r="F421" s="1">
        <v>43572</v>
      </c>
      <c r="G421">
        <v>20</v>
      </c>
      <c r="H421" t="s">
        <v>104</v>
      </c>
      <c r="I421" t="s">
        <v>45</v>
      </c>
      <c r="J421" t="s">
        <v>21</v>
      </c>
      <c r="K421" t="s">
        <v>22</v>
      </c>
      <c r="L421" s="15">
        <v>3750</v>
      </c>
      <c r="M421" t="s">
        <v>23</v>
      </c>
      <c r="N421" s="1">
        <v>45036</v>
      </c>
      <c r="O421" t="s">
        <v>186</v>
      </c>
      <c r="P421" t="s">
        <v>586</v>
      </c>
      <c r="Q421" t="str">
        <f>_xlfn.XLOOKUP(angajati__2[[#This Row],[id_departament]],departamente!A:A,departamente!B:B)</f>
        <v>Vânzări</v>
      </c>
      <c r="R421">
        <f t="shared" si="18"/>
        <v>36</v>
      </c>
      <c r="S421">
        <f t="shared" si="19"/>
        <v>4</v>
      </c>
      <c r="T421" t="str" cm="1">
        <f t="array" ref="T421">_xlfn.IFS(
    S421&lt;1, "&lt; 1 an",
    S421&lt;3, "1–3 ani",
    S421&lt;5, "3–5 ani",
    S421&gt;=5, "&gt; 5 ani"
)</f>
        <v>3–5 ani</v>
      </c>
      <c r="U421">
        <f t="shared" si="20"/>
        <v>1</v>
      </c>
    </row>
    <row r="422" spans="1:21" x14ac:dyDescent="0.3">
      <c r="A422">
        <v>1185</v>
      </c>
      <c r="B422" t="s">
        <v>70</v>
      </c>
      <c r="C422" t="s">
        <v>119</v>
      </c>
      <c r="D422" t="s">
        <v>18</v>
      </c>
      <c r="E422" s="1">
        <v>31873</v>
      </c>
      <c r="F422" s="1">
        <v>44864</v>
      </c>
      <c r="G422">
        <v>10</v>
      </c>
      <c r="H422" t="s">
        <v>44</v>
      </c>
      <c r="I422" t="s">
        <v>45</v>
      </c>
      <c r="J422" t="s">
        <v>52</v>
      </c>
      <c r="K422" t="s">
        <v>22</v>
      </c>
      <c r="L422" s="15">
        <v>5450</v>
      </c>
      <c r="M422" t="s">
        <v>32</v>
      </c>
      <c r="P422" t="s">
        <v>587</v>
      </c>
      <c r="Q422" t="str">
        <f>_xlfn.XLOOKUP(angajati__2[[#This Row],[id_departament]],departamente!A:A,departamente!B:B)</f>
        <v>IT</v>
      </c>
      <c r="R422">
        <f t="shared" si="18"/>
        <v>38</v>
      </c>
      <c r="S422">
        <f t="shared" si="19"/>
        <v>3.2</v>
      </c>
      <c r="T422" t="str" cm="1">
        <f t="array" ref="T422">_xlfn.IFS(
    S422&lt;1, "&lt; 1 an",
    S422&lt;3, "1–3 ani",
    S422&lt;5, "3–5 ani",
    S422&gt;=5, "&gt; 5 ani"
)</f>
        <v>3–5 ani</v>
      </c>
      <c r="U422">
        <f t="shared" si="20"/>
        <v>0</v>
      </c>
    </row>
    <row r="423" spans="1:21" x14ac:dyDescent="0.3">
      <c r="A423">
        <v>1166</v>
      </c>
      <c r="B423" t="s">
        <v>70</v>
      </c>
      <c r="C423" t="s">
        <v>140</v>
      </c>
      <c r="D423" t="s">
        <v>37</v>
      </c>
      <c r="E423" s="1">
        <v>32156</v>
      </c>
      <c r="F423" s="1">
        <v>44184</v>
      </c>
      <c r="G423">
        <v>30</v>
      </c>
      <c r="H423" t="s">
        <v>56</v>
      </c>
      <c r="I423" t="s">
        <v>39</v>
      </c>
      <c r="J423" t="s">
        <v>46</v>
      </c>
      <c r="K423" t="s">
        <v>22</v>
      </c>
      <c r="L423" s="15">
        <v>10250</v>
      </c>
      <c r="M423" t="s">
        <v>32</v>
      </c>
      <c r="P423" t="s">
        <v>588</v>
      </c>
      <c r="Q423" t="str">
        <f>_xlfn.XLOOKUP(angajati__2[[#This Row],[id_departament]],departamente!A:A,departamente!B:B)</f>
        <v>Marketing</v>
      </c>
      <c r="R423">
        <f t="shared" si="18"/>
        <v>37</v>
      </c>
      <c r="S423">
        <f t="shared" si="19"/>
        <v>5</v>
      </c>
      <c r="T423" t="str" cm="1">
        <f t="array" ref="T423">_xlfn.IFS(
    S423&lt;1, "&lt; 1 an",
    S423&lt;3, "1–3 ani",
    S423&lt;5, "3–5 ani",
    S423&gt;=5, "&gt; 5 ani"
)</f>
        <v>&gt; 5 ani</v>
      </c>
      <c r="U423">
        <f t="shared" si="20"/>
        <v>0</v>
      </c>
    </row>
    <row r="424" spans="1:21" x14ac:dyDescent="0.3">
      <c r="A424">
        <v>1373</v>
      </c>
      <c r="B424" t="s">
        <v>115</v>
      </c>
      <c r="C424" t="s">
        <v>113</v>
      </c>
      <c r="D424" t="s">
        <v>37</v>
      </c>
      <c r="E424" s="1">
        <v>34868</v>
      </c>
      <c r="F424" s="1">
        <v>42414</v>
      </c>
      <c r="G424">
        <v>10</v>
      </c>
      <c r="H424" t="s">
        <v>108</v>
      </c>
      <c r="I424" t="s">
        <v>45</v>
      </c>
      <c r="J424" t="s">
        <v>46</v>
      </c>
      <c r="K424" t="s">
        <v>22</v>
      </c>
      <c r="L424" s="15">
        <v>6000</v>
      </c>
      <c r="M424" t="s">
        <v>23</v>
      </c>
      <c r="N424" s="1">
        <v>45029</v>
      </c>
      <c r="O424" t="s">
        <v>152</v>
      </c>
      <c r="P424" t="s">
        <v>589</v>
      </c>
      <c r="Q424" t="str">
        <f>_xlfn.XLOOKUP(angajati__2[[#This Row],[id_departament]],departamente!A:A,departamente!B:B)</f>
        <v>IT</v>
      </c>
      <c r="R424">
        <f t="shared" si="18"/>
        <v>30</v>
      </c>
      <c r="S424">
        <f t="shared" si="19"/>
        <v>7.2</v>
      </c>
      <c r="T424" t="str" cm="1">
        <f t="array" ref="T424">_xlfn.IFS(
    S424&lt;1, "&lt; 1 an",
    S424&lt;3, "1–3 ani",
    S424&lt;5, "3–5 ani",
    S424&gt;=5, "&gt; 5 ani"
)</f>
        <v>&gt; 5 ani</v>
      </c>
      <c r="U424">
        <f t="shared" si="20"/>
        <v>1</v>
      </c>
    </row>
    <row r="425" spans="1:21" x14ac:dyDescent="0.3">
      <c r="A425">
        <v>1275</v>
      </c>
      <c r="B425" t="s">
        <v>94</v>
      </c>
      <c r="C425" t="s">
        <v>198</v>
      </c>
      <c r="D425" t="s">
        <v>18</v>
      </c>
      <c r="E425" s="1">
        <v>28474</v>
      </c>
      <c r="F425" s="1">
        <v>44795</v>
      </c>
      <c r="G425">
        <v>10</v>
      </c>
      <c r="H425" t="s">
        <v>44</v>
      </c>
      <c r="I425" t="s">
        <v>30</v>
      </c>
      <c r="J425" t="s">
        <v>21</v>
      </c>
      <c r="K425" t="s">
        <v>40</v>
      </c>
      <c r="L425" s="15">
        <v>8600</v>
      </c>
      <c r="M425" t="s">
        <v>32</v>
      </c>
      <c r="P425" t="s">
        <v>590</v>
      </c>
      <c r="Q425" t="str">
        <f>_xlfn.XLOOKUP(angajati__2[[#This Row],[id_departament]],departamente!A:A,departamente!B:B)</f>
        <v>IT</v>
      </c>
      <c r="R425">
        <f t="shared" si="18"/>
        <v>48</v>
      </c>
      <c r="S425">
        <f t="shared" si="19"/>
        <v>3.4</v>
      </c>
      <c r="T425" t="str" cm="1">
        <f t="array" ref="T425">_xlfn.IFS(
    S425&lt;1, "&lt; 1 an",
    S425&lt;3, "1–3 ani",
    S425&lt;5, "3–5 ani",
    S425&gt;=5, "&gt; 5 ani"
)</f>
        <v>3–5 ani</v>
      </c>
      <c r="U425">
        <f t="shared" si="20"/>
        <v>0</v>
      </c>
    </row>
    <row r="426" spans="1:21" x14ac:dyDescent="0.3">
      <c r="A426">
        <v>1193</v>
      </c>
      <c r="B426" t="s">
        <v>115</v>
      </c>
      <c r="C426" t="s">
        <v>98</v>
      </c>
      <c r="D426" t="s">
        <v>37</v>
      </c>
      <c r="E426" s="1">
        <v>33394</v>
      </c>
      <c r="F426" s="1">
        <v>42716</v>
      </c>
      <c r="G426">
        <v>60</v>
      </c>
      <c r="H426" t="s">
        <v>29</v>
      </c>
      <c r="I426" t="s">
        <v>39</v>
      </c>
      <c r="J426" t="s">
        <v>52</v>
      </c>
      <c r="K426" t="s">
        <v>22</v>
      </c>
      <c r="L426" s="15">
        <v>6050</v>
      </c>
      <c r="M426" t="s">
        <v>32</v>
      </c>
      <c r="P426" t="s">
        <v>591</v>
      </c>
      <c r="Q426" t="str">
        <f>_xlfn.XLOOKUP(angajati__2[[#This Row],[id_departament]],departamente!A:A,departamente!B:B)</f>
        <v>Suport Clienți</v>
      </c>
      <c r="R426">
        <f t="shared" si="18"/>
        <v>34</v>
      </c>
      <c r="S426">
        <f t="shared" si="19"/>
        <v>9.1</v>
      </c>
      <c r="T426" t="str" cm="1">
        <f t="array" ref="T426">_xlfn.IFS(
    S426&lt;1, "&lt; 1 an",
    S426&lt;3, "1–3 ani",
    S426&lt;5, "3–5 ani",
    S426&gt;=5, "&gt; 5 ani"
)</f>
        <v>&gt; 5 ani</v>
      </c>
      <c r="U426">
        <f t="shared" si="20"/>
        <v>0</v>
      </c>
    </row>
    <row r="427" spans="1:21" x14ac:dyDescent="0.3">
      <c r="A427">
        <v>1001</v>
      </c>
      <c r="B427" t="s">
        <v>42</v>
      </c>
      <c r="C427" t="s">
        <v>65</v>
      </c>
      <c r="D427" t="s">
        <v>18</v>
      </c>
      <c r="E427" s="1">
        <v>34583</v>
      </c>
      <c r="F427" s="1">
        <v>43923</v>
      </c>
      <c r="G427">
        <v>60</v>
      </c>
      <c r="H427" t="s">
        <v>78</v>
      </c>
      <c r="I427" t="s">
        <v>39</v>
      </c>
      <c r="J427" t="s">
        <v>52</v>
      </c>
      <c r="K427" t="s">
        <v>22</v>
      </c>
      <c r="L427" s="15">
        <v>5150</v>
      </c>
      <c r="M427" t="s">
        <v>32</v>
      </c>
      <c r="P427" t="s">
        <v>592</v>
      </c>
      <c r="Q427" t="str">
        <f>_xlfn.XLOOKUP(angajati__2[[#This Row],[id_departament]],departamente!A:A,departamente!B:B)</f>
        <v>Suport Clienți</v>
      </c>
      <c r="R427">
        <f t="shared" si="18"/>
        <v>31</v>
      </c>
      <c r="S427">
        <f t="shared" si="19"/>
        <v>5.7</v>
      </c>
      <c r="T427" t="str" cm="1">
        <f t="array" ref="T427">_xlfn.IFS(
    S427&lt;1, "&lt; 1 an",
    S427&lt;3, "1–3 ani",
    S427&lt;5, "3–5 ani",
    S427&gt;=5, "&gt; 5 ani"
)</f>
        <v>&gt; 5 ani</v>
      </c>
      <c r="U427">
        <f t="shared" si="20"/>
        <v>0</v>
      </c>
    </row>
    <row r="428" spans="1:21" x14ac:dyDescent="0.3">
      <c r="A428">
        <v>1055</v>
      </c>
      <c r="B428" t="s">
        <v>92</v>
      </c>
      <c r="C428" t="s">
        <v>17</v>
      </c>
      <c r="D428" t="s">
        <v>18</v>
      </c>
      <c r="E428" s="1">
        <v>28563</v>
      </c>
      <c r="F428" s="1">
        <v>44125</v>
      </c>
      <c r="G428">
        <v>50</v>
      </c>
      <c r="H428" t="s">
        <v>71</v>
      </c>
      <c r="I428" t="s">
        <v>30</v>
      </c>
      <c r="J428" t="s">
        <v>52</v>
      </c>
      <c r="K428" t="s">
        <v>22</v>
      </c>
      <c r="L428" s="15">
        <v>6500</v>
      </c>
      <c r="M428" t="s">
        <v>32</v>
      </c>
      <c r="P428" t="s">
        <v>593</v>
      </c>
      <c r="Q428" t="str">
        <f>_xlfn.XLOOKUP(angajati__2[[#This Row],[id_departament]],departamente!A:A,departamente!B:B)</f>
        <v>Financiar</v>
      </c>
      <c r="R428">
        <f t="shared" si="18"/>
        <v>47</v>
      </c>
      <c r="S428">
        <f t="shared" si="19"/>
        <v>5.2</v>
      </c>
      <c r="T428" t="str" cm="1">
        <f t="array" ref="T428">_xlfn.IFS(
    S428&lt;1, "&lt; 1 an",
    S428&lt;3, "1–3 ani",
    S428&lt;5, "3–5 ani",
    S428&gt;=5, "&gt; 5 ani"
)</f>
        <v>&gt; 5 ani</v>
      </c>
      <c r="U428">
        <f t="shared" si="20"/>
        <v>0</v>
      </c>
    </row>
    <row r="429" spans="1:21" x14ac:dyDescent="0.3">
      <c r="A429">
        <v>1376</v>
      </c>
      <c r="B429" t="s">
        <v>64</v>
      </c>
      <c r="C429" t="s">
        <v>65</v>
      </c>
      <c r="D429" t="s">
        <v>18</v>
      </c>
      <c r="E429" s="1">
        <v>35152</v>
      </c>
      <c r="F429" s="1">
        <v>43574</v>
      </c>
      <c r="G429">
        <v>10</v>
      </c>
      <c r="H429" t="s">
        <v>49</v>
      </c>
      <c r="I429" t="s">
        <v>30</v>
      </c>
      <c r="J429" t="s">
        <v>21</v>
      </c>
      <c r="K429" t="s">
        <v>40</v>
      </c>
      <c r="L429" s="15">
        <v>7400</v>
      </c>
      <c r="M429" t="s">
        <v>32</v>
      </c>
      <c r="P429" t="s">
        <v>594</v>
      </c>
      <c r="Q429" t="str">
        <f>_xlfn.XLOOKUP(angajati__2[[#This Row],[id_departament]],departamente!A:A,departamente!B:B)</f>
        <v>IT</v>
      </c>
      <c r="R429">
        <f t="shared" si="18"/>
        <v>29</v>
      </c>
      <c r="S429">
        <f t="shared" si="19"/>
        <v>6.7</v>
      </c>
      <c r="T429" t="str" cm="1">
        <f t="array" ref="T429">_xlfn.IFS(
    S429&lt;1, "&lt; 1 an",
    S429&lt;3, "1–3 ani",
    S429&lt;5, "3–5 ani",
    S429&gt;=5, "&gt; 5 ani"
)</f>
        <v>&gt; 5 ani</v>
      </c>
      <c r="U429">
        <f t="shared" si="20"/>
        <v>0</v>
      </c>
    </row>
    <row r="430" spans="1:21" x14ac:dyDescent="0.3">
      <c r="A430">
        <v>1029</v>
      </c>
      <c r="B430" t="s">
        <v>180</v>
      </c>
      <c r="C430" t="s">
        <v>17</v>
      </c>
      <c r="D430" t="s">
        <v>18</v>
      </c>
      <c r="E430" s="1">
        <v>26952</v>
      </c>
      <c r="F430" s="1">
        <v>44220</v>
      </c>
      <c r="G430">
        <v>30</v>
      </c>
      <c r="H430" t="s">
        <v>209</v>
      </c>
      <c r="I430" t="s">
        <v>39</v>
      </c>
      <c r="J430" t="s">
        <v>21</v>
      </c>
      <c r="K430" t="s">
        <v>22</v>
      </c>
      <c r="L430" s="15">
        <v>6700</v>
      </c>
      <c r="M430" t="s">
        <v>32</v>
      </c>
      <c r="P430" t="s">
        <v>595</v>
      </c>
      <c r="Q430" t="str">
        <f>_xlfn.XLOOKUP(angajati__2[[#This Row],[id_departament]],departamente!A:A,departamente!B:B)</f>
        <v>Marketing</v>
      </c>
      <c r="R430">
        <f t="shared" si="18"/>
        <v>52</v>
      </c>
      <c r="S430">
        <f t="shared" si="19"/>
        <v>4.9000000000000004</v>
      </c>
      <c r="T430" t="str" cm="1">
        <f t="array" ref="T430">_xlfn.IFS(
    S430&lt;1, "&lt; 1 an",
    S430&lt;3, "1–3 ani",
    S430&lt;5, "3–5 ani",
    S430&gt;=5, "&gt; 5 ani"
)</f>
        <v>3–5 ani</v>
      </c>
      <c r="U430">
        <f t="shared" si="20"/>
        <v>0</v>
      </c>
    </row>
    <row r="431" spans="1:21" x14ac:dyDescent="0.3">
      <c r="A431">
        <v>1207</v>
      </c>
      <c r="B431" t="s">
        <v>204</v>
      </c>
      <c r="C431" t="s">
        <v>98</v>
      </c>
      <c r="D431" t="s">
        <v>37</v>
      </c>
      <c r="E431" s="1">
        <v>28223</v>
      </c>
      <c r="F431" s="1">
        <v>45054</v>
      </c>
      <c r="G431">
        <v>40</v>
      </c>
      <c r="H431" t="s">
        <v>101</v>
      </c>
      <c r="I431" t="s">
        <v>30</v>
      </c>
      <c r="J431" t="s">
        <v>21</v>
      </c>
      <c r="K431" t="s">
        <v>22</v>
      </c>
      <c r="L431" s="15">
        <v>6500</v>
      </c>
      <c r="M431" t="s">
        <v>32</v>
      </c>
      <c r="P431" t="s">
        <v>596</v>
      </c>
      <c r="Q431" t="str">
        <f>_xlfn.XLOOKUP(angajati__2[[#This Row],[id_departament]],departamente!A:A,departamente!B:B)</f>
        <v>Resurse Umane</v>
      </c>
      <c r="R431">
        <f t="shared" si="18"/>
        <v>48</v>
      </c>
      <c r="S431">
        <f t="shared" si="19"/>
        <v>2.6</v>
      </c>
      <c r="T431" t="str" cm="1">
        <f t="array" ref="T431">_xlfn.IFS(
    S431&lt;1, "&lt; 1 an",
    S431&lt;3, "1–3 ani",
    S431&lt;5, "3–5 ani",
    S431&gt;=5, "&gt; 5 ani"
)</f>
        <v>1–3 ani</v>
      </c>
      <c r="U431">
        <f t="shared" si="20"/>
        <v>0</v>
      </c>
    </row>
    <row r="432" spans="1:21" x14ac:dyDescent="0.3">
      <c r="A432">
        <v>1384</v>
      </c>
      <c r="B432" t="s">
        <v>164</v>
      </c>
      <c r="C432" t="s">
        <v>194</v>
      </c>
      <c r="D432" t="s">
        <v>37</v>
      </c>
      <c r="E432" s="1">
        <v>34706</v>
      </c>
      <c r="F432" s="1">
        <v>44454</v>
      </c>
      <c r="G432">
        <v>10</v>
      </c>
      <c r="H432" t="s">
        <v>87</v>
      </c>
      <c r="I432" t="s">
        <v>30</v>
      </c>
      <c r="J432" t="s">
        <v>21</v>
      </c>
      <c r="K432" t="s">
        <v>22</v>
      </c>
      <c r="L432" s="15">
        <v>9350</v>
      </c>
      <c r="M432" t="s">
        <v>32</v>
      </c>
      <c r="P432" t="s">
        <v>597</v>
      </c>
      <c r="Q432" t="str">
        <f>_xlfn.XLOOKUP(angajati__2[[#This Row],[id_departament]],departamente!A:A,departamente!B:B)</f>
        <v>IT</v>
      </c>
      <c r="R432">
        <f t="shared" si="18"/>
        <v>30</v>
      </c>
      <c r="S432">
        <f t="shared" si="19"/>
        <v>4.3</v>
      </c>
      <c r="T432" t="str" cm="1">
        <f t="array" ref="T432">_xlfn.IFS(
    S432&lt;1, "&lt; 1 an",
    S432&lt;3, "1–3 ani",
    S432&lt;5, "3–5 ani",
    S432&gt;=5, "&gt; 5 ani"
)</f>
        <v>3–5 ani</v>
      </c>
      <c r="U432">
        <f t="shared" si="20"/>
        <v>0</v>
      </c>
    </row>
    <row r="433" spans="1:21" x14ac:dyDescent="0.3">
      <c r="A433">
        <v>1479</v>
      </c>
      <c r="B433" t="s">
        <v>147</v>
      </c>
      <c r="C433" t="s">
        <v>98</v>
      </c>
      <c r="D433" t="s">
        <v>37</v>
      </c>
      <c r="E433" s="1">
        <v>36243</v>
      </c>
      <c r="F433" s="1">
        <v>45770</v>
      </c>
      <c r="G433">
        <v>70</v>
      </c>
      <c r="H433" t="s">
        <v>116</v>
      </c>
      <c r="I433" t="s">
        <v>30</v>
      </c>
      <c r="J433" t="s">
        <v>31</v>
      </c>
      <c r="K433" t="s">
        <v>22</v>
      </c>
      <c r="L433" s="15">
        <v>5000</v>
      </c>
      <c r="M433" t="s">
        <v>32</v>
      </c>
      <c r="P433" t="s">
        <v>598</v>
      </c>
      <c r="Q433" t="str">
        <f>_xlfn.XLOOKUP(angajati__2[[#This Row],[id_departament]],departamente!A:A,departamente!B:B)</f>
        <v>Operațiuni</v>
      </c>
      <c r="R433">
        <f t="shared" si="18"/>
        <v>26</v>
      </c>
      <c r="S433">
        <f t="shared" si="19"/>
        <v>0.7</v>
      </c>
      <c r="T433" t="str" cm="1">
        <f t="array" ref="T433">_xlfn.IFS(
    S433&lt;1, "&lt; 1 an",
    S433&lt;3, "1–3 ani",
    S433&lt;5, "3–5 ani",
    S433&gt;=5, "&gt; 5 ani"
)</f>
        <v>&lt; 1 an</v>
      </c>
      <c r="U433">
        <f t="shared" si="20"/>
        <v>0</v>
      </c>
    </row>
    <row r="434" spans="1:21" x14ac:dyDescent="0.3">
      <c r="A434">
        <v>1050</v>
      </c>
      <c r="B434" t="s">
        <v>67</v>
      </c>
      <c r="C434" t="s">
        <v>184</v>
      </c>
      <c r="D434" t="s">
        <v>37</v>
      </c>
      <c r="E434" s="1">
        <v>26560</v>
      </c>
      <c r="F434" s="1">
        <v>43390</v>
      </c>
      <c r="G434">
        <v>80</v>
      </c>
      <c r="H434" t="s">
        <v>159</v>
      </c>
      <c r="I434" t="s">
        <v>39</v>
      </c>
      <c r="J434" t="s">
        <v>21</v>
      </c>
      <c r="K434" t="s">
        <v>40</v>
      </c>
      <c r="L434" s="15">
        <v>9700</v>
      </c>
      <c r="M434" t="s">
        <v>32</v>
      </c>
      <c r="P434" t="s">
        <v>599</v>
      </c>
      <c r="Q434" t="str">
        <f>_xlfn.XLOOKUP(angajati__2[[#This Row],[id_departament]],departamente!A:A,departamente!B:B)</f>
        <v>Juridic</v>
      </c>
      <c r="R434">
        <f t="shared" si="18"/>
        <v>53</v>
      </c>
      <c r="S434">
        <f t="shared" si="19"/>
        <v>7.2</v>
      </c>
      <c r="T434" t="str" cm="1">
        <f t="array" ref="T434">_xlfn.IFS(
    S434&lt;1, "&lt; 1 an",
    S434&lt;3, "1–3 ani",
    S434&lt;5, "3–5 ani",
    S434&gt;=5, "&gt; 5 ani"
)</f>
        <v>&gt; 5 ani</v>
      </c>
      <c r="U434">
        <f t="shared" si="20"/>
        <v>0</v>
      </c>
    </row>
    <row r="435" spans="1:21" x14ac:dyDescent="0.3">
      <c r="A435">
        <v>1351</v>
      </c>
      <c r="B435" t="s">
        <v>136</v>
      </c>
      <c r="C435" t="s">
        <v>163</v>
      </c>
      <c r="D435" t="s">
        <v>18</v>
      </c>
      <c r="E435" s="1">
        <v>29678</v>
      </c>
      <c r="F435" s="1">
        <v>44660</v>
      </c>
      <c r="G435">
        <v>70</v>
      </c>
      <c r="H435" t="s">
        <v>38</v>
      </c>
      <c r="I435" t="s">
        <v>45</v>
      </c>
      <c r="J435" t="s">
        <v>21</v>
      </c>
      <c r="K435" t="s">
        <v>22</v>
      </c>
      <c r="L435" s="15">
        <v>4050</v>
      </c>
      <c r="M435" t="s">
        <v>32</v>
      </c>
      <c r="P435" t="s">
        <v>600</v>
      </c>
      <c r="Q435" t="str">
        <f>_xlfn.XLOOKUP(angajati__2[[#This Row],[id_departament]],departamente!A:A,departamente!B:B)</f>
        <v>Operațiuni</v>
      </c>
      <c r="R435">
        <f t="shared" si="18"/>
        <v>44</v>
      </c>
      <c r="S435">
        <f t="shared" si="19"/>
        <v>3.7</v>
      </c>
      <c r="T435" t="str" cm="1">
        <f t="array" ref="T435">_xlfn.IFS(
    S435&lt;1, "&lt; 1 an",
    S435&lt;3, "1–3 ani",
    S435&lt;5, "3–5 ani",
    S435&gt;=5, "&gt; 5 ani"
)</f>
        <v>3–5 ani</v>
      </c>
      <c r="U435">
        <f t="shared" si="20"/>
        <v>0</v>
      </c>
    </row>
    <row r="436" spans="1:21" x14ac:dyDescent="0.3">
      <c r="A436">
        <v>1021</v>
      </c>
      <c r="B436" t="s">
        <v>73</v>
      </c>
      <c r="C436" t="s">
        <v>65</v>
      </c>
      <c r="D436" t="s">
        <v>18</v>
      </c>
      <c r="E436" s="1">
        <v>31739</v>
      </c>
      <c r="F436" s="1">
        <v>45890</v>
      </c>
      <c r="G436">
        <v>20</v>
      </c>
      <c r="H436" t="s">
        <v>104</v>
      </c>
      <c r="I436" t="s">
        <v>45</v>
      </c>
      <c r="J436" t="s">
        <v>21</v>
      </c>
      <c r="K436" t="s">
        <v>22</v>
      </c>
      <c r="L436" s="15">
        <v>4800</v>
      </c>
      <c r="M436" t="s">
        <v>23</v>
      </c>
      <c r="N436" s="1">
        <v>46018</v>
      </c>
      <c r="O436" t="s">
        <v>186</v>
      </c>
      <c r="P436" t="s">
        <v>601</v>
      </c>
      <c r="Q436" t="str">
        <f>_xlfn.XLOOKUP(angajati__2[[#This Row],[id_departament]],departamente!A:A,departamente!B:B)</f>
        <v>Vânzări</v>
      </c>
      <c r="R436">
        <f t="shared" si="18"/>
        <v>39</v>
      </c>
      <c r="S436">
        <f t="shared" si="19"/>
        <v>0.4</v>
      </c>
      <c r="T436" t="str" cm="1">
        <f t="array" ref="T436">_xlfn.IFS(
    S436&lt;1, "&lt; 1 an",
    S436&lt;3, "1–3 ani",
    S436&lt;5, "3–5 ani",
    S436&gt;=5, "&gt; 5 ani"
)</f>
        <v>&lt; 1 an</v>
      </c>
      <c r="U436">
        <f t="shared" si="20"/>
        <v>1</v>
      </c>
    </row>
    <row r="437" spans="1:21" x14ac:dyDescent="0.3">
      <c r="A437">
        <v>1294</v>
      </c>
      <c r="B437" t="s">
        <v>80</v>
      </c>
      <c r="C437" t="s">
        <v>171</v>
      </c>
      <c r="D437" t="s">
        <v>18</v>
      </c>
      <c r="E437" s="1">
        <v>34590</v>
      </c>
      <c r="F437" s="1">
        <v>43238</v>
      </c>
      <c r="G437">
        <v>80</v>
      </c>
      <c r="H437" t="s">
        <v>159</v>
      </c>
      <c r="I437" t="s">
        <v>30</v>
      </c>
      <c r="J437" t="s">
        <v>46</v>
      </c>
      <c r="K437" t="s">
        <v>22</v>
      </c>
      <c r="L437" s="15">
        <v>7150</v>
      </c>
      <c r="M437" t="s">
        <v>32</v>
      </c>
      <c r="P437" t="s">
        <v>602</v>
      </c>
      <c r="Q437" t="str">
        <f>_xlfn.XLOOKUP(angajati__2[[#This Row],[id_departament]],departamente!A:A,departamente!B:B)</f>
        <v>Juridic</v>
      </c>
      <c r="R437">
        <f t="shared" si="18"/>
        <v>31</v>
      </c>
      <c r="S437">
        <f t="shared" si="19"/>
        <v>7.6</v>
      </c>
      <c r="T437" t="str" cm="1">
        <f t="array" ref="T437">_xlfn.IFS(
    S437&lt;1, "&lt; 1 an",
    S437&lt;3, "1–3 ani",
    S437&lt;5, "3–5 ani",
    S437&gt;=5, "&gt; 5 ani"
)</f>
        <v>&gt; 5 ani</v>
      </c>
      <c r="U437">
        <f t="shared" si="20"/>
        <v>0</v>
      </c>
    </row>
    <row r="438" spans="1:21" x14ac:dyDescent="0.3">
      <c r="A438">
        <v>1177</v>
      </c>
      <c r="B438" t="s">
        <v>396</v>
      </c>
      <c r="C438" t="s">
        <v>59</v>
      </c>
      <c r="D438" t="s">
        <v>18</v>
      </c>
      <c r="E438" s="1">
        <v>34392</v>
      </c>
      <c r="F438" s="1">
        <v>43490</v>
      </c>
      <c r="G438">
        <v>70</v>
      </c>
      <c r="H438" t="s">
        <v>38</v>
      </c>
      <c r="I438" t="s">
        <v>30</v>
      </c>
      <c r="J438" t="s">
        <v>31</v>
      </c>
      <c r="K438" t="s">
        <v>22</v>
      </c>
      <c r="L438" s="15">
        <v>6400</v>
      </c>
      <c r="M438" t="s">
        <v>32</v>
      </c>
      <c r="P438" t="s">
        <v>603</v>
      </c>
      <c r="Q438" t="str">
        <f>_xlfn.XLOOKUP(angajati__2[[#This Row],[id_departament]],departamente!A:A,departamente!B:B)</f>
        <v>Operațiuni</v>
      </c>
      <c r="R438">
        <f t="shared" si="18"/>
        <v>31</v>
      </c>
      <c r="S438">
        <f t="shared" si="19"/>
        <v>6.9</v>
      </c>
      <c r="T438" t="str" cm="1">
        <f t="array" ref="T438">_xlfn.IFS(
    S438&lt;1, "&lt; 1 an",
    S438&lt;3, "1–3 ani",
    S438&lt;5, "3–5 ani",
    S438&gt;=5, "&gt; 5 ani"
)</f>
        <v>&gt; 5 ani</v>
      </c>
      <c r="U438">
        <f t="shared" si="20"/>
        <v>0</v>
      </c>
    </row>
    <row r="439" spans="1:21" x14ac:dyDescent="0.3">
      <c r="A439">
        <v>1336</v>
      </c>
      <c r="B439" t="s">
        <v>89</v>
      </c>
      <c r="C439" t="s">
        <v>17</v>
      </c>
      <c r="D439" t="s">
        <v>18</v>
      </c>
      <c r="E439" s="1">
        <v>31792</v>
      </c>
      <c r="F439" s="1">
        <v>44616</v>
      </c>
      <c r="G439">
        <v>60</v>
      </c>
      <c r="H439" t="s">
        <v>78</v>
      </c>
      <c r="I439" t="s">
        <v>39</v>
      </c>
      <c r="J439" t="s">
        <v>52</v>
      </c>
      <c r="K439" t="s">
        <v>22</v>
      </c>
      <c r="L439" s="15">
        <v>5800</v>
      </c>
      <c r="M439" t="s">
        <v>32</v>
      </c>
      <c r="Q439" t="str">
        <f>_xlfn.XLOOKUP(angajati__2[[#This Row],[id_departament]],departamente!A:A,departamente!B:B)</f>
        <v>Suport Clienți</v>
      </c>
      <c r="R439">
        <f t="shared" si="18"/>
        <v>38</v>
      </c>
      <c r="S439">
        <f t="shared" si="19"/>
        <v>3.8</v>
      </c>
      <c r="T439" t="str" cm="1">
        <f t="array" ref="T439">_xlfn.IFS(
    S439&lt;1, "&lt; 1 an",
    S439&lt;3, "1–3 ani",
    S439&lt;5, "3–5 ani",
    S439&gt;=5, "&gt; 5 ani"
)</f>
        <v>3–5 ani</v>
      </c>
      <c r="U439">
        <f t="shared" si="20"/>
        <v>0</v>
      </c>
    </row>
    <row r="440" spans="1:21" x14ac:dyDescent="0.3">
      <c r="A440">
        <v>1380</v>
      </c>
      <c r="B440" t="s">
        <v>180</v>
      </c>
      <c r="C440" t="s">
        <v>247</v>
      </c>
      <c r="D440" t="s">
        <v>18</v>
      </c>
      <c r="E440" s="1">
        <v>34506</v>
      </c>
      <c r="F440" s="1">
        <v>44952</v>
      </c>
      <c r="G440">
        <v>60</v>
      </c>
      <c r="H440" t="s">
        <v>78</v>
      </c>
      <c r="I440" t="s">
        <v>30</v>
      </c>
      <c r="J440" t="s">
        <v>52</v>
      </c>
      <c r="K440" t="s">
        <v>22</v>
      </c>
      <c r="L440" s="15">
        <v>4400</v>
      </c>
      <c r="M440" t="s">
        <v>32</v>
      </c>
      <c r="P440" t="s">
        <v>604</v>
      </c>
      <c r="Q440" t="str">
        <f>_xlfn.XLOOKUP(angajati__2[[#This Row],[id_departament]],departamente!A:A,departamente!B:B)</f>
        <v>Suport Clienți</v>
      </c>
      <c r="R440">
        <f t="shared" si="18"/>
        <v>31</v>
      </c>
      <c r="S440">
        <f t="shared" si="19"/>
        <v>2.9</v>
      </c>
      <c r="T440" t="str" cm="1">
        <f t="array" ref="T440">_xlfn.IFS(
    S440&lt;1, "&lt; 1 an",
    S440&lt;3, "1–3 ani",
    S440&lt;5, "3–5 ani",
    S440&gt;=5, "&gt; 5 ani"
)</f>
        <v>1–3 ani</v>
      </c>
      <c r="U440">
        <f t="shared" si="20"/>
        <v>0</v>
      </c>
    </row>
    <row r="441" spans="1:21" x14ac:dyDescent="0.3">
      <c r="A441">
        <v>1034</v>
      </c>
      <c r="B441" t="s">
        <v>73</v>
      </c>
      <c r="C441" t="s">
        <v>107</v>
      </c>
      <c r="D441" t="s">
        <v>37</v>
      </c>
      <c r="E441" s="1">
        <v>29527</v>
      </c>
      <c r="F441" s="1">
        <v>43392</v>
      </c>
      <c r="G441">
        <v>10</v>
      </c>
      <c r="H441" t="s">
        <v>49</v>
      </c>
      <c r="I441" t="s">
        <v>39</v>
      </c>
      <c r="J441" t="s">
        <v>21</v>
      </c>
      <c r="K441" t="s">
        <v>22</v>
      </c>
      <c r="L441" s="15">
        <v>12900</v>
      </c>
      <c r="M441" t="s">
        <v>32</v>
      </c>
      <c r="P441" t="s">
        <v>605</v>
      </c>
      <c r="Q441" t="str">
        <f>_xlfn.XLOOKUP(angajati__2[[#This Row],[id_departament]],departamente!A:A,departamente!B:B)</f>
        <v>IT</v>
      </c>
      <c r="R441">
        <f t="shared" si="18"/>
        <v>45</v>
      </c>
      <c r="S441">
        <f t="shared" si="19"/>
        <v>7.2</v>
      </c>
      <c r="T441" t="str" cm="1">
        <f t="array" ref="T441">_xlfn.IFS(
    S441&lt;1, "&lt; 1 an",
    S441&lt;3, "1–3 ani",
    S441&lt;5, "3–5 ani",
    S441&gt;=5, "&gt; 5 ani"
)</f>
        <v>&gt; 5 ani</v>
      </c>
      <c r="U441">
        <f t="shared" si="20"/>
        <v>0</v>
      </c>
    </row>
    <row r="442" spans="1:21" x14ac:dyDescent="0.3">
      <c r="A442">
        <v>1172</v>
      </c>
      <c r="B442" t="s">
        <v>94</v>
      </c>
      <c r="C442" t="s">
        <v>27</v>
      </c>
      <c r="D442" t="s">
        <v>37</v>
      </c>
      <c r="E442" s="1">
        <v>32515</v>
      </c>
      <c r="F442" s="1">
        <v>43530</v>
      </c>
      <c r="G442">
        <v>20</v>
      </c>
      <c r="H442" t="s">
        <v>68</v>
      </c>
      <c r="I442" t="s">
        <v>45</v>
      </c>
      <c r="J442" t="s">
        <v>31</v>
      </c>
      <c r="K442" t="s">
        <v>22</v>
      </c>
      <c r="L442" s="15">
        <v>3900</v>
      </c>
      <c r="M442" t="s">
        <v>32</v>
      </c>
      <c r="P442" t="s">
        <v>606</v>
      </c>
      <c r="Q442" t="str">
        <f>_xlfn.XLOOKUP(angajati__2[[#This Row],[id_departament]],departamente!A:A,departamente!B:B)</f>
        <v>Vânzări</v>
      </c>
      <c r="R442">
        <f t="shared" si="18"/>
        <v>36</v>
      </c>
      <c r="S442">
        <f t="shared" si="19"/>
        <v>6.8</v>
      </c>
      <c r="T442" t="str" cm="1">
        <f t="array" ref="T442">_xlfn.IFS(
    S442&lt;1, "&lt; 1 an",
    S442&lt;3, "1–3 ani",
    S442&lt;5, "3–5 ani",
    S442&gt;=5, "&gt; 5 ani"
)</f>
        <v>&gt; 5 ani</v>
      </c>
      <c r="U442">
        <f t="shared" si="20"/>
        <v>0</v>
      </c>
    </row>
    <row r="443" spans="1:21" x14ac:dyDescent="0.3">
      <c r="A443">
        <v>1008</v>
      </c>
      <c r="B443" t="s">
        <v>70</v>
      </c>
      <c r="C443" t="s">
        <v>216</v>
      </c>
      <c r="D443" t="s">
        <v>18</v>
      </c>
      <c r="E443" s="1">
        <v>32299</v>
      </c>
      <c r="F443" s="1">
        <v>42909</v>
      </c>
      <c r="G443">
        <v>40</v>
      </c>
      <c r="H443" t="s">
        <v>120</v>
      </c>
      <c r="I443" t="s">
        <v>30</v>
      </c>
      <c r="J443" t="s">
        <v>21</v>
      </c>
      <c r="K443" t="s">
        <v>22</v>
      </c>
      <c r="L443" s="15">
        <v>5400</v>
      </c>
      <c r="M443" t="s">
        <v>32</v>
      </c>
      <c r="P443" t="s">
        <v>607</v>
      </c>
      <c r="Q443" t="str">
        <f>_xlfn.XLOOKUP(angajati__2[[#This Row],[id_departament]],departamente!A:A,departamente!B:B)</f>
        <v>Resurse Umane</v>
      </c>
      <c r="R443">
        <f t="shared" si="18"/>
        <v>37</v>
      </c>
      <c r="S443">
        <f t="shared" si="19"/>
        <v>8.5</v>
      </c>
      <c r="T443" t="str" cm="1">
        <f t="array" ref="T443">_xlfn.IFS(
    S443&lt;1, "&lt; 1 an",
    S443&lt;3, "1–3 ani",
    S443&lt;5, "3–5 ani",
    S443&gt;=5, "&gt; 5 ani"
)</f>
        <v>&gt; 5 ani</v>
      </c>
      <c r="U443">
        <f t="shared" si="20"/>
        <v>0</v>
      </c>
    </row>
    <row r="444" spans="1:21" x14ac:dyDescent="0.3">
      <c r="A444">
        <v>1319</v>
      </c>
      <c r="B444" t="s">
        <v>122</v>
      </c>
      <c r="C444" t="s">
        <v>81</v>
      </c>
      <c r="D444" t="s">
        <v>37</v>
      </c>
      <c r="E444" s="1">
        <v>30606</v>
      </c>
      <c r="F444" s="1">
        <v>44678</v>
      </c>
      <c r="G444">
        <v>10</v>
      </c>
      <c r="H444" t="s">
        <v>108</v>
      </c>
      <c r="I444" t="s">
        <v>39</v>
      </c>
      <c r="J444" t="s">
        <v>21</v>
      </c>
      <c r="K444" t="s">
        <v>22</v>
      </c>
      <c r="L444" s="15">
        <v>12950</v>
      </c>
      <c r="M444" t="s">
        <v>32</v>
      </c>
      <c r="P444" t="s">
        <v>608</v>
      </c>
      <c r="Q444" t="str">
        <f>_xlfn.XLOOKUP(angajati__2[[#This Row],[id_departament]],departamente!A:A,departamente!B:B)</f>
        <v>IT</v>
      </c>
      <c r="R444">
        <f t="shared" si="18"/>
        <v>42</v>
      </c>
      <c r="S444">
        <f t="shared" si="19"/>
        <v>3.7</v>
      </c>
      <c r="T444" t="str" cm="1">
        <f t="array" ref="T444">_xlfn.IFS(
    S444&lt;1, "&lt; 1 an",
    S444&lt;3, "1–3 ani",
    S444&lt;5, "3–5 ani",
    S444&gt;=5, "&gt; 5 ani"
)</f>
        <v>3–5 ani</v>
      </c>
      <c r="U444">
        <f t="shared" si="20"/>
        <v>0</v>
      </c>
    </row>
    <row r="445" spans="1:21" x14ac:dyDescent="0.3">
      <c r="A445">
        <v>1107</v>
      </c>
      <c r="B445" t="s">
        <v>70</v>
      </c>
      <c r="C445" t="s">
        <v>224</v>
      </c>
      <c r="D445" t="s">
        <v>37</v>
      </c>
      <c r="E445" s="1">
        <v>33395</v>
      </c>
      <c r="F445" s="1">
        <v>45001</v>
      </c>
      <c r="G445">
        <v>10</v>
      </c>
      <c r="H445" t="s">
        <v>108</v>
      </c>
      <c r="I445" t="s">
        <v>39</v>
      </c>
      <c r="J445" t="s">
        <v>21</v>
      </c>
      <c r="K445" t="s">
        <v>22</v>
      </c>
      <c r="L445" s="15">
        <v>13150</v>
      </c>
      <c r="M445" t="s">
        <v>32</v>
      </c>
      <c r="P445" t="s">
        <v>609</v>
      </c>
      <c r="Q445" t="str">
        <f>_xlfn.XLOOKUP(angajati__2[[#This Row],[id_departament]],departamente!A:A,departamente!B:B)</f>
        <v>IT</v>
      </c>
      <c r="R445">
        <f t="shared" si="18"/>
        <v>34</v>
      </c>
      <c r="S445">
        <f t="shared" si="19"/>
        <v>2.8</v>
      </c>
      <c r="T445" t="str" cm="1">
        <f t="array" ref="T445">_xlfn.IFS(
    S445&lt;1, "&lt; 1 an",
    S445&lt;3, "1–3 ani",
    S445&lt;5, "3–5 ani",
    S445&gt;=5, "&gt; 5 ani"
)</f>
        <v>1–3 ani</v>
      </c>
      <c r="U445">
        <f t="shared" si="20"/>
        <v>0</v>
      </c>
    </row>
    <row r="446" spans="1:21" x14ac:dyDescent="0.3">
      <c r="A446">
        <v>1414</v>
      </c>
      <c r="B446" t="s">
        <v>125</v>
      </c>
      <c r="C446" t="s">
        <v>247</v>
      </c>
      <c r="D446" t="s">
        <v>18</v>
      </c>
      <c r="E446" s="1">
        <v>29346</v>
      </c>
      <c r="F446" s="1">
        <v>44800</v>
      </c>
      <c r="G446">
        <v>20</v>
      </c>
      <c r="H446" t="s">
        <v>104</v>
      </c>
      <c r="I446" t="s">
        <v>30</v>
      </c>
      <c r="J446" t="s">
        <v>31</v>
      </c>
      <c r="K446" t="s">
        <v>22</v>
      </c>
      <c r="L446" s="15">
        <v>4500</v>
      </c>
      <c r="M446" t="s">
        <v>32</v>
      </c>
      <c r="P446" t="s">
        <v>610</v>
      </c>
      <c r="Q446" t="str">
        <f>_xlfn.XLOOKUP(angajati__2[[#This Row],[id_departament]],departamente!A:A,departamente!B:B)</f>
        <v>Vânzări</v>
      </c>
      <c r="R446">
        <f t="shared" si="18"/>
        <v>45</v>
      </c>
      <c r="S446">
        <f t="shared" si="19"/>
        <v>3.3</v>
      </c>
      <c r="T446" t="str" cm="1">
        <f t="array" ref="T446">_xlfn.IFS(
    S446&lt;1, "&lt; 1 an",
    S446&lt;3, "1–3 ani",
    S446&lt;5, "3–5 ani",
    S446&gt;=5, "&gt; 5 ani"
)</f>
        <v>3–5 ani</v>
      </c>
      <c r="U446">
        <f t="shared" si="20"/>
        <v>0</v>
      </c>
    </row>
    <row r="447" spans="1:21" x14ac:dyDescent="0.3">
      <c r="A447">
        <v>1098</v>
      </c>
      <c r="B447" t="s">
        <v>54</v>
      </c>
      <c r="C447" t="s">
        <v>247</v>
      </c>
      <c r="D447" t="s">
        <v>18</v>
      </c>
      <c r="E447" s="1">
        <v>34610</v>
      </c>
      <c r="F447" s="1">
        <v>43291</v>
      </c>
      <c r="G447">
        <v>40</v>
      </c>
      <c r="H447" t="s">
        <v>101</v>
      </c>
      <c r="I447" t="s">
        <v>30</v>
      </c>
      <c r="J447" t="s">
        <v>21</v>
      </c>
      <c r="K447" t="s">
        <v>22</v>
      </c>
      <c r="L447" s="15">
        <v>5200</v>
      </c>
      <c r="M447" t="s">
        <v>32</v>
      </c>
      <c r="P447" t="s">
        <v>612</v>
      </c>
      <c r="Q447" t="str">
        <f>_xlfn.XLOOKUP(angajati__2[[#This Row],[id_departament]],departamente!A:A,departamente!B:B)</f>
        <v>Resurse Umane</v>
      </c>
      <c r="R447">
        <f t="shared" si="18"/>
        <v>31</v>
      </c>
      <c r="S447">
        <f t="shared" si="19"/>
        <v>7.5</v>
      </c>
      <c r="T447" t="str" cm="1">
        <f t="array" ref="T447">_xlfn.IFS(
    S447&lt;1, "&lt; 1 an",
    S447&lt;3, "1–3 ani",
    S447&lt;5, "3–5 ani",
    S447&gt;=5, "&gt; 5 ani"
)</f>
        <v>&gt; 5 ani</v>
      </c>
      <c r="U447">
        <f t="shared" si="20"/>
        <v>0</v>
      </c>
    </row>
    <row r="448" spans="1:21" x14ac:dyDescent="0.3">
      <c r="A448">
        <v>1111</v>
      </c>
      <c r="B448" t="s">
        <v>164</v>
      </c>
      <c r="C448" t="s">
        <v>206</v>
      </c>
      <c r="D448" t="s">
        <v>18</v>
      </c>
      <c r="E448" s="1">
        <v>34745</v>
      </c>
      <c r="F448" s="1">
        <v>43037</v>
      </c>
      <c r="G448">
        <v>10</v>
      </c>
      <c r="H448" t="s">
        <v>87</v>
      </c>
      <c r="I448" t="s">
        <v>45</v>
      </c>
      <c r="J448" t="s">
        <v>31</v>
      </c>
      <c r="K448" t="s">
        <v>22</v>
      </c>
      <c r="L448" s="15">
        <v>6300</v>
      </c>
      <c r="M448" t="s">
        <v>32</v>
      </c>
      <c r="P448" t="s">
        <v>613</v>
      </c>
      <c r="Q448" t="str">
        <f>_xlfn.XLOOKUP(angajati__2[[#This Row],[id_departament]],departamente!A:A,departamente!B:B)</f>
        <v>IT</v>
      </c>
      <c r="R448">
        <f t="shared" si="18"/>
        <v>30</v>
      </c>
      <c r="S448">
        <f t="shared" si="19"/>
        <v>8.1999999999999993</v>
      </c>
      <c r="T448" t="str" cm="1">
        <f t="array" ref="T448">_xlfn.IFS(
    S448&lt;1, "&lt; 1 an",
    S448&lt;3, "1–3 ani",
    S448&lt;5, "3–5 ani",
    S448&gt;=5, "&gt; 5 ani"
)</f>
        <v>&gt; 5 ani</v>
      </c>
      <c r="U448">
        <f t="shared" si="20"/>
        <v>0</v>
      </c>
    </row>
    <row r="449" spans="1:21" x14ac:dyDescent="0.3">
      <c r="A449">
        <v>1361</v>
      </c>
      <c r="B449" t="s">
        <v>80</v>
      </c>
      <c r="C449" t="s">
        <v>273</v>
      </c>
      <c r="D449" t="s">
        <v>18</v>
      </c>
      <c r="E449" s="1">
        <v>28712</v>
      </c>
      <c r="F449" s="1">
        <v>45816</v>
      </c>
      <c r="G449">
        <v>70</v>
      </c>
      <c r="H449" t="s">
        <v>116</v>
      </c>
      <c r="I449" t="s">
        <v>30</v>
      </c>
      <c r="J449" t="s">
        <v>31</v>
      </c>
      <c r="K449" t="s">
        <v>22</v>
      </c>
      <c r="L449" s="15">
        <v>4450</v>
      </c>
      <c r="M449" t="s">
        <v>32</v>
      </c>
      <c r="P449" t="s">
        <v>614</v>
      </c>
      <c r="Q449" t="str">
        <f>_xlfn.XLOOKUP(angajati__2[[#This Row],[id_departament]],departamente!A:A,departamente!B:B)</f>
        <v>Operațiuni</v>
      </c>
      <c r="R449">
        <f t="shared" si="18"/>
        <v>47</v>
      </c>
      <c r="S449">
        <f t="shared" si="19"/>
        <v>0.6</v>
      </c>
      <c r="T449" t="str" cm="1">
        <f t="array" ref="T449">_xlfn.IFS(
    S449&lt;1, "&lt; 1 an",
    S449&lt;3, "1–3 ani",
    S449&lt;5, "3–5 ani",
    S449&gt;=5, "&gt; 5 ani"
)</f>
        <v>&lt; 1 an</v>
      </c>
      <c r="U449">
        <f t="shared" si="20"/>
        <v>0</v>
      </c>
    </row>
    <row r="450" spans="1:21" x14ac:dyDescent="0.3">
      <c r="A450">
        <v>1070</v>
      </c>
      <c r="B450" t="s">
        <v>134</v>
      </c>
      <c r="C450" t="s">
        <v>155</v>
      </c>
      <c r="D450" t="s">
        <v>37</v>
      </c>
      <c r="E450" s="1">
        <v>30184</v>
      </c>
      <c r="F450" s="1">
        <v>42684</v>
      </c>
      <c r="G450">
        <v>20</v>
      </c>
      <c r="H450" t="s">
        <v>68</v>
      </c>
      <c r="I450" t="s">
        <v>30</v>
      </c>
      <c r="J450" t="s">
        <v>21</v>
      </c>
      <c r="K450" t="s">
        <v>22</v>
      </c>
      <c r="L450" s="15">
        <v>5700</v>
      </c>
      <c r="M450" t="s">
        <v>32</v>
      </c>
      <c r="P450" t="s">
        <v>615</v>
      </c>
      <c r="Q450" t="str">
        <f>_xlfn.XLOOKUP(angajati__2[[#This Row],[id_departament]],departamente!A:A,departamente!B:B)</f>
        <v>Vânzări</v>
      </c>
      <c r="R450">
        <f t="shared" ref="R450:R481" si="21">DATEDIF(E450,DATE(2025,12,31), "y")</f>
        <v>43</v>
      </c>
      <c r="S450">
        <f t="shared" ref="S450:S481" si="22">ROUND(YEARFRAC(F450, IF(M450="Plecat", N450, DATE(2025,12,31)), 1), 1)</f>
        <v>9.1</v>
      </c>
      <c r="T450" t="str" cm="1">
        <f t="array" ref="T450">_xlfn.IFS(
    S450&lt;1, "&lt; 1 an",
    S450&lt;3, "1–3 ani",
    S450&lt;5, "3–5 ani",
    S450&gt;=5, "&gt; 5 ani"
)</f>
        <v>&gt; 5 ani</v>
      </c>
      <c r="U450">
        <f t="shared" ref="U450:U481" si="23">IF(M450="Plecat", 1, 0)</f>
        <v>0</v>
      </c>
    </row>
    <row r="451" spans="1:21" x14ac:dyDescent="0.3">
      <c r="A451">
        <v>1347</v>
      </c>
      <c r="B451" t="s">
        <v>204</v>
      </c>
      <c r="C451" t="s">
        <v>184</v>
      </c>
      <c r="D451" t="s">
        <v>37</v>
      </c>
      <c r="E451" s="1">
        <v>35409</v>
      </c>
      <c r="F451" s="1">
        <v>45794</v>
      </c>
      <c r="G451">
        <v>20</v>
      </c>
      <c r="H451" t="s">
        <v>104</v>
      </c>
      <c r="I451" t="s">
        <v>39</v>
      </c>
      <c r="J451" t="s">
        <v>21</v>
      </c>
      <c r="K451" t="s">
        <v>22</v>
      </c>
      <c r="L451" s="15">
        <v>9850</v>
      </c>
      <c r="M451" t="s">
        <v>23</v>
      </c>
      <c r="N451" s="1">
        <v>45963</v>
      </c>
      <c r="O451" t="s">
        <v>24</v>
      </c>
      <c r="P451" t="s">
        <v>616</v>
      </c>
      <c r="Q451" t="str">
        <f>_xlfn.XLOOKUP(angajati__2[[#This Row],[id_departament]],departamente!A:A,departamente!B:B)</f>
        <v>Vânzări</v>
      </c>
      <c r="R451">
        <f t="shared" si="21"/>
        <v>29</v>
      </c>
      <c r="S451">
        <f t="shared" si="22"/>
        <v>0.5</v>
      </c>
      <c r="T451" t="str" cm="1">
        <f t="array" ref="T451">_xlfn.IFS(
    S451&lt;1, "&lt; 1 an",
    S451&lt;3, "1–3 ani",
    S451&lt;5, "3–5 ani",
    S451&gt;=5, "&gt; 5 ani"
)</f>
        <v>&lt; 1 an</v>
      </c>
      <c r="U451">
        <f t="shared" si="23"/>
        <v>1</v>
      </c>
    </row>
    <row r="452" spans="1:21" x14ac:dyDescent="0.3">
      <c r="A452">
        <v>1436</v>
      </c>
      <c r="B452" t="s">
        <v>150</v>
      </c>
      <c r="C452" t="s">
        <v>184</v>
      </c>
      <c r="D452" t="s">
        <v>37</v>
      </c>
      <c r="E452" s="1">
        <v>33531</v>
      </c>
      <c r="F452" s="1">
        <v>43084</v>
      </c>
      <c r="G452">
        <v>10</v>
      </c>
      <c r="H452" t="s">
        <v>87</v>
      </c>
      <c r="I452" t="s">
        <v>39</v>
      </c>
      <c r="J452" t="s">
        <v>21</v>
      </c>
      <c r="K452" t="s">
        <v>22</v>
      </c>
      <c r="L452" s="15">
        <v>13700</v>
      </c>
      <c r="M452" t="s">
        <v>23</v>
      </c>
      <c r="N452" s="1">
        <v>44321</v>
      </c>
      <c r="O452" t="s">
        <v>186</v>
      </c>
      <c r="P452" t="s">
        <v>617</v>
      </c>
      <c r="Q452" t="str">
        <f>_xlfn.XLOOKUP(angajati__2[[#This Row],[id_departament]],departamente!A:A,departamente!B:B)</f>
        <v>IT</v>
      </c>
      <c r="R452">
        <f t="shared" si="21"/>
        <v>34</v>
      </c>
      <c r="S452">
        <f t="shared" si="22"/>
        <v>3.4</v>
      </c>
      <c r="T452" t="str" cm="1">
        <f t="array" ref="T452">_xlfn.IFS(
    S452&lt;1, "&lt; 1 an",
    S452&lt;3, "1–3 ani",
    S452&lt;5, "3–5 ani",
    S452&gt;=5, "&gt; 5 ani"
)</f>
        <v>3–5 ani</v>
      </c>
      <c r="U452">
        <f t="shared" si="23"/>
        <v>1</v>
      </c>
    </row>
    <row r="453" spans="1:21" x14ac:dyDescent="0.3">
      <c r="A453">
        <v>1130</v>
      </c>
      <c r="B453" t="s">
        <v>80</v>
      </c>
      <c r="C453" t="s">
        <v>59</v>
      </c>
      <c r="D453" t="s">
        <v>18</v>
      </c>
      <c r="E453" s="1">
        <v>35943</v>
      </c>
      <c r="F453" s="1">
        <v>45769</v>
      </c>
      <c r="G453">
        <v>70</v>
      </c>
      <c r="H453" t="s">
        <v>116</v>
      </c>
      <c r="I453" t="s">
        <v>45</v>
      </c>
      <c r="J453" t="s">
        <v>31</v>
      </c>
      <c r="K453" t="s">
        <v>22</v>
      </c>
      <c r="L453" s="15">
        <v>3600</v>
      </c>
      <c r="M453" t="s">
        <v>32</v>
      </c>
      <c r="P453" t="s">
        <v>618</v>
      </c>
      <c r="Q453" t="str">
        <f>_xlfn.XLOOKUP(angajati__2[[#This Row],[id_departament]],departamente!A:A,departamente!B:B)</f>
        <v>Operațiuni</v>
      </c>
      <c r="R453">
        <f t="shared" si="21"/>
        <v>27</v>
      </c>
      <c r="S453">
        <f t="shared" si="22"/>
        <v>0.7</v>
      </c>
      <c r="T453" t="str" cm="1">
        <f t="array" ref="T453">_xlfn.IFS(
    S453&lt;1, "&lt; 1 an",
    S453&lt;3, "1–3 ani",
    S453&lt;5, "3–5 ani",
    S453&gt;=5, "&gt; 5 ani"
)</f>
        <v>&lt; 1 an</v>
      </c>
      <c r="U453">
        <f t="shared" si="23"/>
        <v>0</v>
      </c>
    </row>
    <row r="454" spans="1:21" x14ac:dyDescent="0.3">
      <c r="A454">
        <v>1317</v>
      </c>
      <c r="B454" t="s">
        <v>180</v>
      </c>
      <c r="C454" t="s">
        <v>184</v>
      </c>
      <c r="D454" t="s">
        <v>37</v>
      </c>
      <c r="E454" s="1">
        <v>27226</v>
      </c>
      <c r="F454" s="1">
        <v>43994</v>
      </c>
      <c r="G454">
        <v>60</v>
      </c>
      <c r="H454" t="s">
        <v>29</v>
      </c>
      <c r="I454" t="s">
        <v>39</v>
      </c>
      <c r="J454" t="s">
        <v>52</v>
      </c>
      <c r="K454" t="s">
        <v>22</v>
      </c>
      <c r="L454" s="15">
        <v>7050</v>
      </c>
      <c r="M454" t="s">
        <v>32</v>
      </c>
      <c r="P454" t="s">
        <v>619</v>
      </c>
      <c r="Q454" t="str">
        <f>_xlfn.XLOOKUP(angajati__2[[#This Row],[id_departament]],departamente!A:A,departamente!B:B)</f>
        <v>Suport Clienți</v>
      </c>
      <c r="R454">
        <f t="shared" si="21"/>
        <v>51</v>
      </c>
      <c r="S454">
        <f t="shared" si="22"/>
        <v>5.6</v>
      </c>
      <c r="T454" t="str" cm="1">
        <f t="array" ref="T454">_xlfn.IFS(
    S454&lt;1, "&lt; 1 an",
    S454&lt;3, "1–3 ani",
    S454&lt;5, "3–5 ani",
    S454&gt;=5, "&gt; 5 ani"
)</f>
        <v>&gt; 5 ani</v>
      </c>
      <c r="U454">
        <f t="shared" si="23"/>
        <v>0</v>
      </c>
    </row>
    <row r="455" spans="1:21" x14ac:dyDescent="0.3">
      <c r="A455">
        <v>1448</v>
      </c>
      <c r="B455" t="s">
        <v>115</v>
      </c>
      <c r="C455" t="s">
        <v>103</v>
      </c>
      <c r="D455" t="s">
        <v>37</v>
      </c>
      <c r="E455" s="1">
        <v>34299</v>
      </c>
      <c r="F455" s="1">
        <v>42555</v>
      </c>
      <c r="G455">
        <v>30</v>
      </c>
      <c r="H455" t="s">
        <v>56</v>
      </c>
      <c r="I455" t="s">
        <v>30</v>
      </c>
      <c r="J455" t="s">
        <v>46</v>
      </c>
      <c r="K455" t="s">
        <v>22</v>
      </c>
      <c r="L455" s="15">
        <v>6250</v>
      </c>
      <c r="M455" t="s">
        <v>32</v>
      </c>
      <c r="P455" t="s">
        <v>621</v>
      </c>
      <c r="Q455" t="str">
        <f>_xlfn.XLOOKUP(angajati__2[[#This Row],[id_departament]],departamente!A:A,departamente!B:B)</f>
        <v>Marketing</v>
      </c>
      <c r="R455">
        <f t="shared" si="21"/>
        <v>32</v>
      </c>
      <c r="S455">
        <f t="shared" si="22"/>
        <v>9.5</v>
      </c>
      <c r="T455" t="str" cm="1">
        <f t="array" ref="T455">_xlfn.IFS(
    S455&lt;1, "&lt; 1 an",
    S455&lt;3, "1–3 ani",
    S455&lt;5, "3–5 ani",
    S455&gt;=5, "&gt; 5 ani"
)</f>
        <v>&gt; 5 ani</v>
      </c>
      <c r="U455">
        <f t="shared" si="23"/>
        <v>0</v>
      </c>
    </row>
    <row r="456" spans="1:21" x14ac:dyDescent="0.3">
      <c r="A456">
        <v>1259</v>
      </c>
      <c r="B456" t="s">
        <v>150</v>
      </c>
      <c r="C456" t="s">
        <v>110</v>
      </c>
      <c r="D456" t="s">
        <v>37</v>
      </c>
      <c r="E456" s="1">
        <v>33799</v>
      </c>
      <c r="F456" s="1">
        <v>43060</v>
      </c>
      <c r="G456">
        <v>20</v>
      </c>
      <c r="H456" t="s">
        <v>68</v>
      </c>
      <c r="I456" t="s">
        <v>45</v>
      </c>
      <c r="J456" t="s">
        <v>21</v>
      </c>
      <c r="K456" t="s">
        <v>22</v>
      </c>
      <c r="L456" s="15">
        <v>4000</v>
      </c>
      <c r="M456" t="s">
        <v>32</v>
      </c>
      <c r="P456" t="s">
        <v>622</v>
      </c>
      <c r="Q456" t="str">
        <f>_xlfn.XLOOKUP(angajati__2[[#This Row],[id_departament]],departamente!A:A,departamente!B:B)</f>
        <v>Vânzări</v>
      </c>
      <c r="R456">
        <f t="shared" si="21"/>
        <v>33</v>
      </c>
      <c r="S456">
        <f t="shared" si="22"/>
        <v>8.1</v>
      </c>
      <c r="T456" t="str" cm="1">
        <f t="array" ref="T456">_xlfn.IFS(
    S456&lt;1, "&lt; 1 an",
    S456&lt;3, "1–3 ani",
    S456&lt;5, "3–5 ani",
    S456&gt;=5, "&gt; 5 ani"
)</f>
        <v>&gt; 5 ani</v>
      </c>
      <c r="U456">
        <f t="shared" si="23"/>
        <v>0</v>
      </c>
    </row>
    <row r="457" spans="1:21" x14ac:dyDescent="0.3">
      <c r="A457">
        <v>1323</v>
      </c>
      <c r="B457" t="s">
        <v>164</v>
      </c>
      <c r="C457" t="s">
        <v>200</v>
      </c>
      <c r="D457" t="s">
        <v>18</v>
      </c>
      <c r="E457" s="1">
        <v>33026</v>
      </c>
      <c r="F457" s="1">
        <v>44677</v>
      </c>
      <c r="G457">
        <v>40</v>
      </c>
      <c r="H457" t="s">
        <v>120</v>
      </c>
      <c r="I457" t="s">
        <v>45</v>
      </c>
      <c r="J457" t="s">
        <v>21</v>
      </c>
      <c r="K457" t="s">
        <v>40</v>
      </c>
      <c r="L457" s="15">
        <v>3400</v>
      </c>
      <c r="M457" t="s">
        <v>32</v>
      </c>
      <c r="P457" t="s">
        <v>623</v>
      </c>
      <c r="Q457" t="str">
        <f>_xlfn.XLOOKUP(angajati__2[[#This Row],[id_departament]],departamente!A:A,departamente!B:B)</f>
        <v>Resurse Umane</v>
      </c>
      <c r="R457">
        <f t="shared" si="21"/>
        <v>35</v>
      </c>
      <c r="S457">
        <f t="shared" si="22"/>
        <v>3.7</v>
      </c>
      <c r="T457" t="str" cm="1">
        <f t="array" ref="T457">_xlfn.IFS(
    S457&lt;1, "&lt; 1 an",
    S457&lt;3, "1–3 ani",
    S457&lt;5, "3–5 ani",
    S457&gt;=5, "&gt; 5 ani"
)</f>
        <v>3–5 ani</v>
      </c>
      <c r="U457">
        <f t="shared" si="23"/>
        <v>0</v>
      </c>
    </row>
    <row r="458" spans="1:21" x14ac:dyDescent="0.3">
      <c r="A458">
        <v>1151</v>
      </c>
      <c r="B458" t="s">
        <v>125</v>
      </c>
      <c r="C458" t="s">
        <v>113</v>
      </c>
      <c r="D458" t="s">
        <v>37</v>
      </c>
      <c r="E458" s="1">
        <v>26760</v>
      </c>
      <c r="F458" s="1">
        <v>43793</v>
      </c>
      <c r="G458">
        <v>60</v>
      </c>
      <c r="H458" t="s">
        <v>29</v>
      </c>
      <c r="I458" t="s">
        <v>39</v>
      </c>
      <c r="J458" t="s">
        <v>21</v>
      </c>
      <c r="K458" t="s">
        <v>22</v>
      </c>
      <c r="L458" s="15">
        <v>6500</v>
      </c>
      <c r="M458" t="s">
        <v>32</v>
      </c>
      <c r="P458" t="s">
        <v>624</v>
      </c>
      <c r="Q458" t="str">
        <f>_xlfn.XLOOKUP(angajati__2[[#This Row],[id_departament]],departamente!A:A,departamente!B:B)</f>
        <v>Suport Clienți</v>
      </c>
      <c r="R458">
        <f t="shared" si="21"/>
        <v>52</v>
      </c>
      <c r="S458">
        <f t="shared" si="22"/>
        <v>6.1</v>
      </c>
      <c r="T458" t="str" cm="1">
        <f t="array" ref="T458">_xlfn.IFS(
    S458&lt;1, "&lt; 1 an",
    S458&lt;3, "1–3 ani",
    S458&lt;5, "3–5 ani",
    S458&gt;=5, "&gt; 5 ani"
)</f>
        <v>&gt; 5 ani</v>
      </c>
      <c r="U458">
        <f t="shared" si="23"/>
        <v>0</v>
      </c>
    </row>
    <row r="459" spans="1:21" x14ac:dyDescent="0.3">
      <c r="A459">
        <v>1338</v>
      </c>
      <c r="B459" t="s">
        <v>136</v>
      </c>
      <c r="C459" t="s">
        <v>107</v>
      </c>
      <c r="D459" t="s">
        <v>37</v>
      </c>
      <c r="E459" s="1">
        <v>34778</v>
      </c>
      <c r="F459" s="1">
        <v>43773</v>
      </c>
      <c r="G459">
        <v>70</v>
      </c>
      <c r="H459" t="s">
        <v>38</v>
      </c>
      <c r="I459" t="s">
        <v>30</v>
      </c>
      <c r="J459" t="s">
        <v>31</v>
      </c>
      <c r="K459" t="s">
        <v>22</v>
      </c>
      <c r="L459" s="15">
        <v>5100</v>
      </c>
      <c r="M459" t="s">
        <v>32</v>
      </c>
      <c r="P459" t="s">
        <v>625</v>
      </c>
      <c r="Q459" t="str">
        <f>_xlfn.XLOOKUP(angajati__2[[#This Row],[id_departament]],departamente!A:A,departamente!B:B)</f>
        <v>Operațiuni</v>
      </c>
      <c r="R459">
        <f t="shared" si="21"/>
        <v>30</v>
      </c>
      <c r="S459">
        <f t="shared" si="22"/>
        <v>6.2</v>
      </c>
      <c r="T459" t="str" cm="1">
        <f t="array" ref="T459">_xlfn.IFS(
    S459&lt;1, "&lt; 1 an",
    S459&lt;3, "1–3 ani",
    S459&lt;5, "3–5 ani",
    S459&gt;=5, "&gt; 5 ani"
)</f>
        <v>&gt; 5 ani</v>
      </c>
      <c r="U459">
        <f t="shared" si="23"/>
        <v>0</v>
      </c>
    </row>
    <row r="460" spans="1:21" x14ac:dyDescent="0.3">
      <c r="A460">
        <v>1027</v>
      </c>
      <c r="B460" t="s">
        <v>70</v>
      </c>
      <c r="C460" t="s">
        <v>178</v>
      </c>
      <c r="D460" t="s">
        <v>18</v>
      </c>
      <c r="E460" s="1">
        <v>31418</v>
      </c>
      <c r="F460" s="1">
        <v>42995</v>
      </c>
      <c r="G460">
        <v>60</v>
      </c>
      <c r="H460" t="s">
        <v>78</v>
      </c>
      <c r="I460" t="s">
        <v>45</v>
      </c>
      <c r="J460" t="s">
        <v>21</v>
      </c>
      <c r="K460" t="s">
        <v>40</v>
      </c>
      <c r="L460" s="15">
        <v>3050</v>
      </c>
      <c r="M460" t="s">
        <v>23</v>
      </c>
      <c r="N460" s="1">
        <v>44621</v>
      </c>
      <c r="O460" t="s">
        <v>105</v>
      </c>
      <c r="P460" t="s">
        <v>626</v>
      </c>
      <c r="Q460" t="str">
        <f>_xlfn.XLOOKUP(angajati__2[[#This Row],[id_departament]],departamente!A:A,departamente!B:B)</f>
        <v>Suport Clienți</v>
      </c>
      <c r="R460">
        <f t="shared" si="21"/>
        <v>39</v>
      </c>
      <c r="S460">
        <f t="shared" si="22"/>
        <v>4.5</v>
      </c>
      <c r="T460" t="str" cm="1">
        <f t="array" ref="T460">_xlfn.IFS(
    S460&lt;1, "&lt; 1 an",
    S460&lt;3, "1–3 ani",
    S460&lt;5, "3–5 ani",
    S460&gt;=5, "&gt; 5 ani"
)</f>
        <v>3–5 ani</v>
      </c>
      <c r="U460">
        <f t="shared" si="23"/>
        <v>1</v>
      </c>
    </row>
    <row r="461" spans="1:21" x14ac:dyDescent="0.3">
      <c r="A461">
        <v>1399</v>
      </c>
      <c r="B461" t="s">
        <v>157</v>
      </c>
      <c r="C461" t="s">
        <v>155</v>
      </c>
      <c r="D461" t="s">
        <v>37</v>
      </c>
      <c r="E461" s="1">
        <v>33915</v>
      </c>
      <c r="F461" s="1">
        <v>43042</v>
      </c>
      <c r="G461">
        <v>70</v>
      </c>
      <c r="H461" t="s">
        <v>38</v>
      </c>
      <c r="I461" t="s">
        <v>30</v>
      </c>
      <c r="J461" t="s">
        <v>21</v>
      </c>
      <c r="K461" t="s">
        <v>22</v>
      </c>
      <c r="L461" s="15">
        <v>6250</v>
      </c>
      <c r="M461" t="s">
        <v>32</v>
      </c>
      <c r="P461" t="s">
        <v>627</v>
      </c>
      <c r="Q461" t="str">
        <f>_xlfn.XLOOKUP(angajati__2[[#This Row],[id_departament]],departamente!A:A,departamente!B:B)</f>
        <v>Operațiuni</v>
      </c>
      <c r="R461">
        <f t="shared" si="21"/>
        <v>33</v>
      </c>
      <c r="S461">
        <f t="shared" si="22"/>
        <v>8.1999999999999993</v>
      </c>
      <c r="T461" t="str" cm="1">
        <f t="array" ref="T461">_xlfn.IFS(
    S461&lt;1, "&lt; 1 an",
    S461&lt;3, "1–3 ani",
    S461&lt;5, "3–5 ani",
    S461&gt;=5, "&gt; 5 ani"
)</f>
        <v>&gt; 5 ani</v>
      </c>
      <c r="U461">
        <f t="shared" si="23"/>
        <v>0</v>
      </c>
    </row>
    <row r="462" spans="1:21" x14ac:dyDescent="0.3">
      <c r="A462">
        <v>1424</v>
      </c>
      <c r="B462" t="s">
        <v>94</v>
      </c>
      <c r="C462" t="s">
        <v>110</v>
      </c>
      <c r="D462" t="s">
        <v>37</v>
      </c>
      <c r="E462" s="1">
        <v>33166</v>
      </c>
      <c r="F462" s="1">
        <v>43529</v>
      </c>
      <c r="G462">
        <v>70</v>
      </c>
      <c r="H462" t="s">
        <v>38</v>
      </c>
      <c r="I462" t="s">
        <v>30</v>
      </c>
      <c r="J462" t="s">
        <v>31</v>
      </c>
      <c r="K462" t="s">
        <v>22</v>
      </c>
      <c r="L462" s="15">
        <v>5200</v>
      </c>
      <c r="M462" t="s">
        <v>32</v>
      </c>
      <c r="P462" t="s">
        <v>628</v>
      </c>
      <c r="Q462" t="str">
        <f>_xlfn.XLOOKUP(angajati__2[[#This Row],[id_departament]],departamente!A:A,departamente!B:B)</f>
        <v>Operațiuni</v>
      </c>
      <c r="R462">
        <f t="shared" si="21"/>
        <v>35</v>
      </c>
      <c r="S462">
        <f t="shared" si="22"/>
        <v>6.8</v>
      </c>
      <c r="T462" t="str" cm="1">
        <f t="array" ref="T462">_xlfn.IFS(
    S462&lt;1, "&lt; 1 an",
    S462&lt;3, "1–3 ani",
    S462&lt;5, "3–5 ani",
    S462&gt;=5, "&gt; 5 ani"
)</f>
        <v>&gt; 5 ani</v>
      </c>
      <c r="U462">
        <f t="shared" si="23"/>
        <v>0</v>
      </c>
    </row>
    <row r="463" spans="1:21" x14ac:dyDescent="0.3">
      <c r="A463">
        <v>1094</v>
      </c>
      <c r="B463" t="s">
        <v>147</v>
      </c>
      <c r="C463" t="s">
        <v>131</v>
      </c>
      <c r="D463" t="s">
        <v>18</v>
      </c>
      <c r="E463" s="1">
        <v>33413</v>
      </c>
      <c r="F463" s="1">
        <v>42556</v>
      </c>
      <c r="G463">
        <v>10</v>
      </c>
      <c r="H463" t="s">
        <v>49</v>
      </c>
      <c r="I463" t="s">
        <v>45</v>
      </c>
      <c r="J463" t="s">
        <v>52</v>
      </c>
      <c r="K463" t="s">
        <v>22</v>
      </c>
      <c r="L463" s="15">
        <v>6000</v>
      </c>
      <c r="M463" t="s">
        <v>32</v>
      </c>
      <c r="P463" t="s">
        <v>629</v>
      </c>
      <c r="Q463" t="str">
        <f>_xlfn.XLOOKUP(angajati__2[[#This Row],[id_departament]],departamente!A:A,departamente!B:B)</f>
        <v>IT</v>
      </c>
      <c r="R463">
        <f t="shared" si="21"/>
        <v>34</v>
      </c>
      <c r="S463">
        <f t="shared" si="22"/>
        <v>9.5</v>
      </c>
      <c r="T463" t="str" cm="1">
        <f t="array" ref="T463">_xlfn.IFS(
    S463&lt;1, "&lt; 1 an",
    S463&lt;3, "1–3 ani",
    S463&lt;5, "3–5 ani",
    S463&gt;=5, "&gt; 5 ani"
)</f>
        <v>&gt; 5 ani</v>
      </c>
      <c r="U463">
        <f t="shared" si="23"/>
        <v>0</v>
      </c>
    </row>
    <row r="464" spans="1:21" x14ac:dyDescent="0.3">
      <c r="A464">
        <v>1429</v>
      </c>
      <c r="B464" t="s">
        <v>136</v>
      </c>
      <c r="C464" t="s">
        <v>90</v>
      </c>
      <c r="D464" t="s">
        <v>18</v>
      </c>
      <c r="E464" s="1">
        <v>28426</v>
      </c>
      <c r="F464" s="1">
        <v>45423</v>
      </c>
      <c r="G464">
        <v>30</v>
      </c>
      <c r="H464" t="s">
        <v>209</v>
      </c>
      <c r="I464" t="s">
        <v>30</v>
      </c>
      <c r="J464" t="s">
        <v>46</v>
      </c>
      <c r="K464" t="s">
        <v>22</v>
      </c>
      <c r="L464" s="15">
        <v>5250</v>
      </c>
      <c r="M464" t="s">
        <v>32</v>
      </c>
      <c r="P464" t="s">
        <v>630</v>
      </c>
      <c r="Q464" t="str">
        <f>_xlfn.XLOOKUP(angajati__2[[#This Row],[id_departament]],departamente!A:A,departamente!B:B)</f>
        <v>Marketing</v>
      </c>
      <c r="R464">
        <f t="shared" si="21"/>
        <v>48</v>
      </c>
      <c r="S464">
        <f t="shared" si="22"/>
        <v>1.6</v>
      </c>
      <c r="T464" t="str" cm="1">
        <f t="array" ref="T464">_xlfn.IFS(
    S464&lt;1, "&lt; 1 an",
    S464&lt;3, "1–3 ani",
    S464&lt;5, "3–5 ani",
    S464&gt;=5, "&gt; 5 ani"
)</f>
        <v>1–3 ani</v>
      </c>
      <c r="U464">
        <f t="shared" si="23"/>
        <v>0</v>
      </c>
    </row>
    <row r="465" spans="1:21" x14ac:dyDescent="0.3">
      <c r="A465">
        <v>1149</v>
      </c>
      <c r="B465" t="s">
        <v>150</v>
      </c>
      <c r="C465" t="s">
        <v>81</v>
      </c>
      <c r="D465" t="s">
        <v>37</v>
      </c>
      <c r="E465" s="1">
        <v>35488</v>
      </c>
      <c r="F465" s="1">
        <v>45823</v>
      </c>
      <c r="G465">
        <v>10</v>
      </c>
      <c r="H465" t="s">
        <v>49</v>
      </c>
      <c r="I465" t="s">
        <v>30</v>
      </c>
      <c r="J465" t="s">
        <v>21</v>
      </c>
      <c r="K465" t="s">
        <v>40</v>
      </c>
      <c r="L465" s="15">
        <v>8600</v>
      </c>
      <c r="M465" t="s">
        <v>32</v>
      </c>
      <c r="P465" t="s">
        <v>631</v>
      </c>
      <c r="Q465" t="str">
        <f>_xlfn.XLOOKUP(angajati__2[[#This Row],[id_departament]],departamente!A:A,departamente!B:B)</f>
        <v>IT</v>
      </c>
      <c r="R465">
        <f t="shared" si="21"/>
        <v>28</v>
      </c>
      <c r="S465">
        <f t="shared" si="22"/>
        <v>0.5</v>
      </c>
      <c r="T465" t="str" cm="1">
        <f t="array" ref="T465">_xlfn.IFS(
    S465&lt;1, "&lt; 1 an",
    S465&lt;3, "1–3 ani",
    S465&lt;5, "3–5 ani",
    S465&gt;=5, "&gt; 5 ani"
)</f>
        <v>&lt; 1 an</v>
      </c>
      <c r="U465">
        <f t="shared" si="23"/>
        <v>0</v>
      </c>
    </row>
    <row r="466" spans="1:21" x14ac:dyDescent="0.3">
      <c r="A466">
        <v>1423</v>
      </c>
      <c r="B466" t="s">
        <v>80</v>
      </c>
      <c r="C466" t="s">
        <v>155</v>
      </c>
      <c r="D466" t="s">
        <v>37</v>
      </c>
      <c r="E466" s="1">
        <v>35201</v>
      </c>
      <c r="F466" s="1">
        <v>44124</v>
      </c>
      <c r="G466">
        <v>20</v>
      </c>
      <c r="H466" t="s">
        <v>104</v>
      </c>
      <c r="I466" t="s">
        <v>45</v>
      </c>
      <c r="J466" t="s">
        <v>21</v>
      </c>
      <c r="K466" t="s">
        <v>22</v>
      </c>
      <c r="L466" s="15">
        <v>3450</v>
      </c>
      <c r="M466" t="s">
        <v>23</v>
      </c>
      <c r="N466" s="1">
        <v>44858</v>
      </c>
      <c r="O466" t="s">
        <v>105</v>
      </c>
      <c r="P466" t="s">
        <v>632</v>
      </c>
      <c r="Q466" t="str">
        <f>_xlfn.XLOOKUP(angajati__2[[#This Row],[id_departament]],departamente!A:A,departamente!B:B)</f>
        <v>Vânzări</v>
      </c>
      <c r="R466">
        <f t="shared" si="21"/>
        <v>29</v>
      </c>
      <c r="S466">
        <f t="shared" si="22"/>
        <v>2</v>
      </c>
      <c r="T466" t="str" cm="1">
        <f t="array" ref="T466">_xlfn.IFS(
    S466&lt;1, "&lt; 1 an",
    S466&lt;3, "1–3 ani",
    S466&lt;5, "3–5 ani",
    S466&gt;=5, "&gt; 5 ani"
)</f>
        <v>1–3 ani</v>
      </c>
      <c r="U466">
        <f t="shared" si="23"/>
        <v>1</v>
      </c>
    </row>
    <row r="467" spans="1:21" x14ac:dyDescent="0.3">
      <c r="A467">
        <v>1120</v>
      </c>
      <c r="B467" t="s">
        <v>92</v>
      </c>
      <c r="C467" t="s">
        <v>184</v>
      </c>
      <c r="D467" t="s">
        <v>37</v>
      </c>
      <c r="E467" s="1">
        <v>36420</v>
      </c>
      <c r="F467" s="1">
        <v>45815</v>
      </c>
      <c r="G467">
        <v>40</v>
      </c>
      <c r="H467" t="s">
        <v>120</v>
      </c>
      <c r="I467" t="s">
        <v>30</v>
      </c>
      <c r="J467" t="s">
        <v>21</v>
      </c>
      <c r="K467" t="s">
        <v>22</v>
      </c>
      <c r="L467" s="15">
        <v>6650</v>
      </c>
      <c r="M467" t="s">
        <v>32</v>
      </c>
      <c r="P467" t="s">
        <v>633</v>
      </c>
      <c r="Q467" t="str">
        <f>_xlfn.XLOOKUP(angajati__2[[#This Row],[id_departament]],departamente!A:A,departamente!B:B)</f>
        <v>Resurse Umane</v>
      </c>
      <c r="R467">
        <f t="shared" si="21"/>
        <v>26</v>
      </c>
      <c r="S467">
        <f t="shared" si="22"/>
        <v>0.6</v>
      </c>
      <c r="T467" t="str" cm="1">
        <f t="array" ref="T467">_xlfn.IFS(
    S467&lt;1, "&lt; 1 an",
    S467&lt;3, "1–3 ani",
    S467&lt;5, "3–5 ani",
    S467&gt;=5, "&gt; 5 ani"
)</f>
        <v>&lt; 1 an</v>
      </c>
      <c r="U467">
        <f t="shared" si="23"/>
        <v>0</v>
      </c>
    </row>
    <row r="468" spans="1:21" x14ac:dyDescent="0.3">
      <c r="A468">
        <v>1406</v>
      </c>
      <c r="B468" t="s">
        <v>150</v>
      </c>
      <c r="C468" t="s">
        <v>163</v>
      </c>
      <c r="D468" t="s">
        <v>18</v>
      </c>
      <c r="E468" s="1">
        <v>34926</v>
      </c>
      <c r="F468" s="1">
        <v>43087</v>
      </c>
      <c r="G468">
        <v>60</v>
      </c>
      <c r="H468" t="s">
        <v>29</v>
      </c>
      <c r="I468" t="s">
        <v>30</v>
      </c>
      <c r="J468" t="s">
        <v>21</v>
      </c>
      <c r="K468" t="s">
        <v>22</v>
      </c>
      <c r="L468" s="15">
        <v>3500</v>
      </c>
      <c r="M468" t="s">
        <v>32</v>
      </c>
      <c r="P468" t="s">
        <v>634</v>
      </c>
      <c r="Q468" t="str">
        <f>_xlfn.XLOOKUP(angajati__2[[#This Row],[id_departament]],departamente!A:A,departamente!B:B)</f>
        <v>Suport Clienți</v>
      </c>
      <c r="R468">
        <f t="shared" si="21"/>
        <v>30</v>
      </c>
      <c r="S468">
        <f t="shared" si="22"/>
        <v>8</v>
      </c>
      <c r="T468" t="str" cm="1">
        <f t="array" ref="T468">_xlfn.IFS(
    S468&lt;1, "&lt; 1 an",
    S468&lt;3, "1–3 ani",
    S468&lt;5, "3–5 ani",
    S468&gt;=5, "&gt; 5 ani"
)</f>
        <v>&gt; 5 ani</v>
      </c>
      <c r="U468">
        <f t="shared" si="23"/>
        <v>0</v>
      </c>
    </row>
    <row r="469" spans="1:21" x14ac:dyDescent="0.3">
      <c r="A469">
        <v>1139</v>
      </c>
      <c r="B469" t="s">
        <v>73</v>
      </c>
      <c r="C469" t="s">
        <v>65</v>
      </c>
      <c r="D469" t="s">
        <v>18</v>
      </c>
      <c r="E469" s="1">
        <v>31116</v>
      </c>
      <c r="F469" s="1">
        <v>43253</v>
      </c>
      <c r="G469">
        <v>70</v>
      </c>
      <c r="H469" t="s">
        <v>38</v>
      </c>
      <c r="I469" t="s">
        <v>45</v>
      </c>
      <c r="J469" t="s">
        <v>52</v>
      </c>
      <c r="K469" t="s">
        <v>22</v>
      </c>
      <c r="L469" s="15">
        <v>3900</v>
      </c>
      <c r="M469" t="s">
        <v>32</v>
      </c>
      <c r="P469" t="s">
        <v>635</v>
      </c>
      <c r="Q469" t="str">
        <f>_xlfn.XLOOKUP(angajati__2[[#This Row],[id_departament]],departamente!A:A,departamente!B:B)</f>
        <v>Operațiuni</v>
      </c>
      <c r="R469">
        <f t="shared" si="21"/>
        <v>40</v>
      </c>
      <c r="S469">
        <f t="shared" si="22"/>
        <v>7.6</v>
      </c>
      <c r="T469" t="str" cm="1">
        <f t="array" ref="T469">_xlfn.IFS(
    S469&lt;1, "&lt; 1 an",
    S469&lt;3, "1–3 ani",
    S469&lt;5, "3–5 ani",
    S469&gt;=5, "&gt; 5 ani"
)</f>
        <v>&gt; 5 ani</v>
      </c>
      <c r="U469">
        <f t="shared" si="23"/>
        <v>0</v>
      </c>
    </row>
    <row r="470" spans="1:21" x14ac:dyDescent="0.3">
      <c r="A470">
        <v>1170</v>
      </c>
      <c r="B470" t="s">
        <v>180</v>
      </c>
      <c r="C470" t="s">
        <v>171</v>
      </c>
      <c r="D470" t="s">
        <v>18</v>
      </c>
      <c r="E470" s="1">
        <v>35685</v>
      </c>
      <c r="F470" s="1">
        <v>45686</v>
      </c>
      <c r="G470">
        <v>70</v>
      </c>
      <c r="H470" t="s">
        <v>38</v>
      </c>
      <c r="I470" t="s">
        <v>30</v>
      </c>
      <c r="J470" t="s">
        <v>31</v>
      </c>
      <c r="K470" t="s">
        <v>22</v>
      </c>
      <c r="L470" s="15">
        <v>4300</v>
      </c>
      <c r="M470" t="s">
        <v>32</v>
      </c>
      <c r="P470" t="s">
        <v>636</v>
      </c>
      <c r="Q470" t="str">
        <f>_xlfn.XLOOKUP(angajati__2[[#This Row],[id_departament]],departamente!A:A,departamente!B:B)</f>
        <v>Operațiuni</v>
      </c>
      <c r="R470">
        <f t="shared" si="21"/>
        <v>28</v>
      </c>
      <c r="S470">
        <f t="shared" si="22"/>
        <v>0.9</v>
      </c>
      <c r="T470" t="str" cm="1">
        <f t="array" ref="T470">_xlfn.IFS(
    S470&lt;1, "&lt; 1 an",
    S470&lt;3, "1–3 ani",
    S470&lt;5, "3–5 ani",
    S470&gt;=5, "&gt; 5 ani"
)</f>
        <v>&lt; 1 an</v>
      </c>
      <c r="U470">
        <f t="shared" si="23"/>
        <v>0</v>
      </c>
    </row>
    <row r="471" spans="1:21" x14ac:dyDescent="0.3">
      <c r="A471">
        <v>1364</v>
      </c>
      <c r="B471" t="s">
        <v>64</v>
      </c>
      <c r="C471" t="s">
        <v>59</v>
      </c>
      <c r="D471" t="s">
        <v>18</v>
      </c>
      <c r="E471" s="1">
        <v>35718</v>
      </c>
      <c r="F471" s="1">
        <v>45078</v>
      </c>
      <c r="G471">
        <v>60</v>
      </c>
      <c r="H471" t="s">
        <v>78</v>
      </c>
      <c r="I471" t="s">
        <v>45</v>
      </c>
      <c r="J471" t="s">
        <v>31</v>
      </c>
      <c r="K471" t="s">
        <v>22</v>
      </c>
      <c r="L471" s="15">
        <v>2750</v>
      </c>
      <c r="M471" t="s">
        <v>32</v>
      </c>
      <c r="P471" t="s">
        <v>637</v>
      </c>
      <c r="Q471" t="str">
        <f>_xlfn.XLOOKUP(angajati__2[[#This Row],[id_departament]],departamente!A:A,departamente!B:B)</f>
        <v>Suport Clienți</v>
      </c>
      <c r="R471">
        <f t="shared" si="21"/>
        <v>28</v>
      </c>
      <c r="S471">
        <f t="shared" si="22"/>
        <v>2.6</v>
      </c>
      <c r="T471" t="str" cm="1">
        <f t="array" ref="T471">_xlfn.IFS(
    S471&lt;1, "&lt; 1 an",
    S471&lt;3, "1–3 ani",
    S471&lt;5, "3–5 ani",
    S471&gt;=5, "&gt; 5 ani"
)</f>
        <v>1–3 ani</v>
      </c>
      <c r="U471">
        <f t="shared" si="23"/>
        <v>0</v>
      </c>
    </row>
    <row r="472" spans="1:21" x14ac:dyDescent="0.3">
      <c r="A472">
        <v>1203</v>
      </c>
      <c r="B472" t="s">
        <v>92</v>
      </c>
      <c r="C472" t="s">
        <v>163</v>
      </c>
      <c r="D472" t="s">
        <v>18</v>
      </c>
      <c r="E472" s="1">
        <v>34201</v>
      </c>
      <c r="F472" s="1">
        <v>43070</v>
      </c>
      <c r="G472">
        <v>70</v>
      </c>
      <c r="H472" t="s">
        <v>38</v>
      </c>
      <c r="I472" t="s">
        <v>30</v>
      </c>
      <c r="J472" t="s">
        <v>21</v>
      </c>
      <c r="K472" t="s">
        <v>22</v>
      </c>
      <c r="L472" s="15">
        <v>5450</v>
      </c>
      <c r="M472" t="s">
        <v>32</v>
      </c>
      <c r="P472" t="s">
        <v>638</v>
      </c>
      <c r="Q472" t="str">
        <f>_xlfn.XLOOKUP(angajati__2[[#This Row],[id_departament]],departamente!A:A,departamente!B:B)</f>
        <v>Operațiuni</v>
      </c>
      <c r="R472">
        <f t="shared" si="21"/>
        <v>32</v>
      </c>
      <c r="S472">
        <f t="shared" si="22"/>
        <v>8.1</v>
      </c>
      <c r="T472" t="str" cm="1">
        <f t="array" ref="T472">_xlfn.IFS(
    S472&lt;1, "&lt; 1 an",
    S472&lt;3, "1–3 ani",
    S472&lt;5, "3–5 ani",
    S472&gt;=5, "&gt; 5 ani"
)</f>
        <v>&gt; 5 ani</v>
      </c>
      <c r="U472">
        <f t="shared" si="23"/>
        <v>0</v>
      </c>
    </row>
    <row r="473" spans="1:21" x14ac:dyDescent="0.3">
      <c r="A473">
        <v>1148</v>
      </c>
      <c r="B473" t="s">
        <v>204</v>
      </c>
      <c r="C473" t="s">
        <v>36</v>
      </c>
      <c r="D473" t="s">
        <v>37</v>
      </c>
      <c r="E473" s="1">
        <v>28109</v>
      </c>
      <c r="F473" s="1">
        <v>44117</v>
      </c>
      <c r="G473">
        <v>70</v>
      </c>
      <c r="H473" t="s">
        <v>116</v>
      </c>
      <c r="I473" t="s">
        <v>30</v>
      </c>
      <c r="J473" t="s">
        <v>31</v>
      </c>
      <c r="K473" t="s">
        <v>22</v>
      </c>
      <c r="L473" s="15">
        <v>5350</v>
      </c>
      <c r="M473" t="s">
        <v>32</v>
      </c>
      <c r="P473" t="s">
        <v>639</v>
      </c>
      <c r="Q473" t="str">
        <f>_xlfn.XLOOKUP(angajati__2[[#This Row],[id_departament]],departamente!A:A,departamente!B:B)</f>
        <v>Operațiuni</v>
      </c>
      <c r="R473">
        <f t="shared" si="21"/>
        <v>49</v>
      </c>
      <c r="S473">
        <f t="shared" si="22"/>
        <v>5.2</v>
      </c>
      <c r="T473" t="str" cm="1">
        <f t="array" ref="T473">_xlfn.IFS(
    S473&lt;1, "&lt; 1 an",
    S473&lt;3, "1–3 ani",
    S473&lt;5, "3–5 ani",
    S473&gt;=5, "&gt; 5 ani"
)</f>
        <v>&gt; 5 ani</v>
      </c>
      <c r="U473">
        <f t="shared" si="23"/>
        <v>0</v>
      </c>
    </row>
    <row r="474" spans="1:21" x14ac:dyDescent="0.3">
      <c r="A474">
        <v>1278</v>
      </c>
      <c r="B474" t="s">
        <v>67</v>
      </c>
      <c r="C474" t="s">
        <v>110</v>
      </c>
      <c r="D474" t="s">
        <v>37</v>
      </c>
      <c r="E474" s="1">
        <v>33644</v>
      </c>
      <c r="F474" s="1">
        <v>44702</v>
      </c>
      <c r="G474">
        <v>20</v>
      </c>
      <c r="H474" t="s">
        <v>104</v>
      </c>
      <c r="I474" t="s">
        <v>30</v>
      </c>
      <c r="J474" t="s">
        <v>31</v>
      </c>
      <c r="K474" t="s">
        <v>22</v>
      </c>
      <c r="L474" s="15">
        <v>5000</v>
      </c>
      <c r="M474" t="s">
        <v>32</v>
      </c>
      <c r="P474" t="s">
        <v>640</v>
      </c>
      <c r="Q474" t="str">
        <f>_xlfn.XLOOKUP(angajati__2[[#This Row],[id_departament]],departamente!A:A,departamente!B:B)</f>
        <v>Vânzări</v>
      </c>
      <c r="R474">
        <f t="shared" si="21"/>
        <v>33</v>
      </c>
      <c r="S474">
        <f t="shared" si="22"/>
        <v>3.6</v>
      </c>
      <c r="T474" t="str" cm="1">
        <f t="array" ref="T474">_xlfn.IFS(
    S474&lt;1, "&lt; 1 an",
    S474&lt;3, "1–3 ani",
    S474&lt;5, "3–5 ani",
    S474&gt;=5, "&gt; 5 ani"
)</f>
        <v>3–5 ani</v>
      </c>
      <c r="U474">
        <f t="shared" si="23"/>
        <v>0</v>
      </c>
    </row>
    <row r="475" spans="1:21" x14ac:dyDescent="0.3">
      <c r="A475">
        <v>1257</v>
      </c>
      <c r="B475" t="s">
        <v>115</v>
      </c>
      <c r="C475" t="s">
        <v>330</v>
      </c>
      <c r="D475" t="s">
        <v>37</v>
      </c>
      <c r="E475" s="1">
        <v>33261</v>
      </c>
      <c r="F475" s="1">
        <v>42710</v>
      </c>
      <c r="G475">
        <v>60</v>
      </c>
      <c r="H475" t="s">
        <v>78</v>
      </c>
      <c r="I475" t="s">
        <v>45</v>
      </c>
      <c r="J475" t="s">
        <v>52</v>
      </c>
      <c r="K475" t="s">
        <v>22</v>
      </c>
      <c r="L475" s="15">
        <v>3350</v>
      </c>
      <c r="M475" t="s">
        <v>32</v>
      </c>
      <c r="Q475" t="str">
        <f>_xlfn.XLOOKUP(angajati__2[[#This Row],[id_departament]],departamente!A:A,departamente!B:B)</f>
        <v>Suport Clienți</v>
      </c>
      <c r="R475">
        <f t="shared" si="21"/>
        <v>34</v>
      </c>
      <c r="S475">
        <f t="shared" si="22"/>
        <v>9.1</v>
      </c>
      <c r="T475" t="str" cm="1">
        <f t="array" ref="T475">_xlfn.IFS(
    S475&lt;1, "&lt; 1 an",
    S475&lt;3, "1–3 ani",
    S475&lt;5, "3–5 ani",
    S475&gt;=5, "&gt; 5 ani"
)</f>
        <v>&gt; 5 ani</v>
      </c>
      <c r="U475">
        <f t="shared" si="23"/>
        <v>0</v>
      </c>
    </row>
    <row r="476" spans="1:21" x14ac:dyDescent="0.3">
      <c r="A476">
        <v>1457</v>
      </c>
      <c r="B476" t="s">
        <v>48</v>
      </c>
      <c r="C476" t="s">
        <v>43</v>
      </c>
      <c r="D476" t="s">
        <v>37</v>
      </c>
      <c r="E476" s="1">
        <v>35411</v>
      </c>
      <c r="F476" s="1">
        <v>44937</v>
      </c>
      <c r="G476">
        <v>20</v>
      </c>
      <c r="H476" t="s">
        <v>68</v>
      </c>
      <c r="I476" t="s">
        <v>30</v>
      </c>
      <c r="J476" t="s">
        <v>21</v>
      </c>
      <c r="K476" t="s">
        <v>22</v>
      </c>
      <c r="L476" s="15">
        <v>4300</v>
      </c>
      <c r="M476" t="s">
        <v>23</v>
      </c>
      <c r="N476" s="1">
        <v>45207</v>
      </c>
      <c r="O476" t="s">
        <v>117</v>
      </c>
      <c r="P476" t="s">
        <v>641</v>
      </c>
      <c r="Q476" t="str">
        <f>_xlfn.XLOOKUP(angajati__2[[#This Row],[id_departament]],departamente!A:A,departamente!B:B)</f>
        <v>Vânzări</v>
      </c>
      <c r="R476">
        <f t="shared" si="21"/>
        <v>29</v>
      </c>
      <c r="S476">
        <f t="shared" si="22"/>
        <v>0.7</v>
      </c>
      <c r="T476" t="str" cm="1">
        <f t="array" ref="T476">_xlfn.IFS(
    S476&lt;1, "&lt; 1 an",
    S476&lt;3, "1–3 ani",
    S476&lt;5, "3–5 ani",
    S476&gt;=5, "&gt; 5 ani"
)</f>
        <v>&lt; 1 an</v>
      </c>
      <c r="U476">
        <f t="shared" si="23"/>
        <v>1</v>
      </c>
    </row>
    <row r="477" spans="1:21" x14ac:dyDescent="0.3">
      <c r="A477">
        <v>1441</v>
      </c>
      <c r="B477" t="s">
        <v>188</v>
      </c>
      <c r="C477" t="s">
        <v>184</v>
      </c>
      <c r="D477" t="s">
        <v>37</v>
      </c>
      <c r="E477" s="1">
        <v>34243</v>
      </c>
      <c r="F477" s="1">
        <v>42827</v>
      </c>
      <c r="G477">
        <v>10</v>
      </c>
      <c r="H477" t="s">
        <v>49</v>
      </c>
      <c r="I477" t="s">
        <v>39</v>
      </c>
      <c r="J477" t="s">
        <v>21</v>
      </c>
      <c r="K477" t="s">
        <v>22</v>
      </c>
      <c r="L477" s="15">
        <v>10550</v>
      </c>
      <c r="M477" t="s">
        <v>32</v>
      </c>
      <c r="P477" t="s">
        <v>643</v>
      </c>
      <c r="Q477" t="str">
        <f>_xlfn.XLOOKUP(angajati__2[[#This Row],[id_departament]],departamente!A:A,departamente!B:B)</f>
        <v>IT</v>
      </c>
      <c r="R477">
        <f t="shared" si="21"/>
        <v>32</v>
      </c>
      <c r="S477">
        <f t="shared" si="22"/>
        <v>8.6999999999999993</v>
      </c>
      <c r="T477" t="str" cm="1">
        <f t="array" ref="T477">_xlfn.IFS(
    S477&lt;1, "&lt; 1 an",
    S477&lt;3, "1–3 ani",
    S477&lt;5, "3–5 ani",
    S477&gt;=5, "&gt; 5 ani"
)</f>
        <v>&gt; 5 ani</v>
      </c>
      <c r="U477">
        <f t="shared" si="23"/>
        <v>0</v>
      </c>
    </row>
    <row r="478" spans="1:21" x14ac:dyDescent="0.3">
      <c r="A478">
        <v>1132</v>
      </c>
      <c r="B478" t="s">
        <v>122</v>
      </c>
      <c r="C478" t="s">
        <v>206</v>
      </c>
      <c r="D478" t="s">
        <v>18</v>
      </c>
      <c r="E478" s="1">
        <v>34527</v>
      </c>
      <c r="F478" s="1">
        <v>42981</v>
      </c>
      <c r="G478">
        <v>20</v>
      </c>
      <c r="H478" t="s">
        <v>68</v>
      </c>
      <c r="I478" t="s">
        <v>45</v>
      </c>
      <c r="J478" t="s">
        <v>46</v>
      </c>
      <c r="K478" t="s">
        <v>22</v>
      </c>
      <c r="L478" s="15">
        <v>3200</v>
      </c>
      <c r="M478" t="s">
        <v>23</v>
      </c>
      <c r="N478" s="1">
        <v>43788</v>
      </c>
      <c r="O478" t="s">
        <v>687</v>
      </c>
      <c r="P478" t="s">
        <v>644</v>
      </c>
      <c r="Q478" t="str">
        <f>_xlfn.XLOOKUP(angajati__2[[#This Row],[id_departament]],departamente!A:A,departamente!B:B)</f>
        <v>Vânzări</v>
      </c>
      <c r="R478">
        <f t="shared" si="21"/>
        <v>31</v>
      </c>
      <c r="S478">
        <f t="shared" si="22"/>
        <v>2.2000000000000002</v>
      </c>
      <c r="T478" t="str" cm="1">
        <f t="array" ref="T478">_xlfn.IFS(
    S478&lt;1, "&lt; 1 an",
    S478&lt;3, "1–3 ani",
    S478&lt;5, "3–5 ani",
    S478&gt;=5, "&gt; 5 ani"
)</f>
        <v>1–3 ani</v>
      </c>
      <c r="U478">
        <f t="shared" si="23"/>
        <v>1</v>
      </c>
    </row>
    <row r="479" spans="1:21" x14ac:dyDescent="0.3">
      <c r="A479">
        <v>1250</v>
      </c>
      <c r="B479" t="s">
        <v>396</v>
      </c>
      <c r="C479" t="s">
        <v>107</v>
      </c>
      <c r="D479" t="s">
        <v>37</v>
      </c>
      <c r="E479" s="1">
        <v>35493</v>
      </c>
      <c r="F479" s="1">
        <v>43215</v>
      </c>
      <c r="G479">
        <v>60</v>
      </c>
      <c r="H479" t="s">
        <v>78</v>
      </c>
      <c r="I479" t="s">
        <v>45</v>
      </c>
      <c r="J479" t="s">
        <v>52</v>
      </c>
      <c r="K479" t="s">
        <v>40</v>
      </c>
      <c r="L479" s="15">
        <v>2850</v>
      </c>
      <c r="M479" t="s">
        <v>32</v>
      </c>
      <c r="P479" t="s">
        <v>645</v>
      </c>
      <c r="Q479" t="str">
        <f>_xlfn.XLOOKUP(angajati__2[[#This Row],[id_departament]],departamente!A:A,departamente!B:B)</f>
        <v>Suport Clienți</v>
      </c>
      <c r="R479">
        <f t="shared" si="21"/>
        <v>28</v>
      </c>
      <c r="S479">
        <f t="shared" si="22"/>
        <v>7.7</v>
      </c>
      <c r="T479" t="str" cm="1">
        <f t="array" ref="T479">_xlfn.IFS(
    S479&lt;1, "&lt; 1 an",
    S479&lt;3, "1–3 ani",
    S479&lt;5, "3–5 ani",
    S479&gt;=5, "&gt; 5 ani"
)</f>
        <v>&gt; 5 ani</v>
      </c>
      <c r="U479">
        <f t="shared" si="23"/>
        <v>0</v>
      </c>
    </row>
    <row r="480" spans="1:21" x14ac:dyDescent="0.3">
      <c r="A480">
        <v>1153</v>
      </c>
      <c r="B480" t="s">
        <v>80</v>
      </c>
      <c r="C480" t="s">
        <v>43</v>
      </c>
      <c r="D480" t="s">
        <v>37</v>
      </c>
      <c r="E480" s="1">
        <v>26485</v>
      </c>
      <c r="F480" s="1">
        <v>43176</v>
      </c>
      <c r="G480">
        <v>30</v>
      </c>
      <c r="H480" t="s">
        <v>56</v>
      </c>
      <c r="I480" t="s">
        <v>39</v>
      </c>
      <c r="J480" t="s">
        <v>46</v>
      </c>
      <c r="K480" t="s">
        <v>22</v>
      </c>
      <c r="L480" s="15">
        <v>9300</v>
      </c>
      <c r="M480" t="s">
        <v>23</v>
      </c>
      <c r="N480" s="1">
        <v>43324</v>
      </c>
      <c r="O480" t="s">
        <v>24</v>
      </c>
      <c r="P480" t="s">
        <v>646</v>
      </c>
      <c r="Q480" t="str">
        <f>_xlfn.XLOOKUP(angajati__2[[#This Row],[id_departament]],departamente!A:A,departamente!B:B)</f>
        <v>Marketing</v>
      </c>
      <c r="R480">
        <f t="shared" si="21"/>
        <v>53</v>
      </c>
      <c r="S480">
        <f t="shared" si="22"/>
        <v>0.4</v>
      </c>
      <c r="T480" t="str" cm="1">
        <f t="array" ref="T480">_xlfn.IFS(
    S480&lt;1, "&lt; 1 an",
    S480&lt;3, "1–3 ani",
    S480&lt;5, "3–5 ani",
    S480&gt;=5, "&gt; 5 ani"
)</f>
        <v>&lt; 1 an</v>
      </c>
      <c r="U480">
        <f t="shared" si="23"/>
        <v>1</v>
      </c>
    </row>
    <row r="481" spans="1:21" x14ac:dyDescent="0.3">
      <c r="A481">
        <v>1363</v>
      </c>
      <c r="B481" t="s">
        <v>48</v>
      </c>
      <c r="C481" t="s">
        <v>330</v>
      </c>
      <c r="D481" t="s">
        <v>37</v>
      </c>
      <c r="E481" s="1">
        <v>28568</v>
      </c>
      <c r="F481" s="1">
        <v>44687</v>
      </c>
      <c r="G481">
        <v>40</v>
      </c>
      <c r="H481" t="s">
        <v>120</v>
      </c>
      <c r="I481" t="s">
        <v>30</v>
      </c>
      <c r="J481" t="s">
        <v>21</v>
      </c>
      <c r="K481" t="s">
        <v>22</v>
      </c>
      <c r="L481" s="15">
        <v>4500</v>
      </c>
      <c r="M481" t="s">
        <v>32</v>
      </c>
      <c r="P481" t="s">
        <v>647</v>
      </c>
      <c r="Q481" t="str">
        <f>_xlfn.XLOOKUP(angajati__2[[#This Row],[id_departament]],departamente!A:A,departamente!B:B)</f>
        <v>Resurse Umane</v>
      </c>
      <c r="R481">
        <f t="shared" si="21"/>
        <v>47</v>
      </c>
      <c r="S481">
        <f t="shared" si="22"/>
        <v>3.7</v>
      </c>
      <c r="T481" t="str" cm="1">
        <f t="array" ref="T481">_xlfn.IFS(
    S481&lt;1, "&lt; 1 an",
    S481&lt;3, "1–3 ani",
    S481&lt;5, "3–5 ani",
    S481&gt;=5, "&gt; 5 ani"
)</f>
        <v>3–5 ani</v>
      </c>
      <c r="U481">
        <f t="shared" si="23"/>
        <v>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D154-7B6E-4446-AD88-7ED570601DA9}">
  <sheetPr>
    <tabColor theme="4" tint="0.39997558519241921"/>
  </sheetPr>
  <dimension ref="A2:F39"/>
  <sheetViews>
    <sheetView showGridLines="0" workbookViewId="0">
      <selection activeCell="G17" sqref="G17"/>
    </sheetView>
  </sheetViews>
  <sheetFormatPr defaultRowHeight="14.4" x14ac:dyDescent="0.3"/>
  <cols>
    <col min="1" max="1" width="27.44140625" bestFit="1" customWidth="1"/>
    <col min="2" max="2" width="16.88671875" bestFit="1" customWidth="1"/>
    <col min="3" max="3" width="9.88671875" bestFit="1" customWidth="1"/>
    <col min="4" max="4" width="6.88671875" bestFit="1" customWidth="1"/>
    <col min="5" max="5" width="7.6640625" bestFit="1" customWidth="1"/>
    <col min="6" max="6" width="12.109375" bestFit="1" customWidth="1"/>
    <col min="7" max="8" width="27.44140625" bestFit="1" customWidth="1"/>
    <col min="9" max="9" width="19" bestFit="1" customWidth="1"/>
    <col min="10" max="10" width="32.21875" bestFit="1" customWidth="1"/>
  </cols>
  <sheetData>
    <row r="2" spans="1:6" x14ac:dyDescent="0.3">
      <c r="A2" s="11" t="s">
        <v>708</v>
      </c>
    </row>
    <row r="3" spans="1:6" x14ac:dyDescent="0.3">
      <c r="A3" s="13" t="s">
        <v>697</v>
      </c>
    </row>
    <row r="4" spans="1:6" x14ac:dyDescent="0.3">
      <c r="A4" s="10" t="s">
        <v>698</v>
      </c>
      <c r="B4" s="10" t="s">
        <v>8</v>
      </c>
      <c r="C4" s="9"/>
      <c r="D4" s="9"/>
      <c r="E4" s="9"/>
      <c r="F4" s="9"/>
    </row>
    <row r="5" spans="1:6" x14ac:dyDescent="0.3">
      <c r="A5" s="10" t="s">
        <v>648</v>
      </c>
      <c r="B5" s="9" t="s">
        <v>45</v>
      </c>
      <c r="C5" s="9" t="s">
        <v>20</v>
      </c>
      <c r="D5" s="9" t="s">
        <v>30</v>
      </c>
      <c r="E5" s="9" t="s">
        <v>39</v>
      </c>
      <c r="F5" s="9" t="s">
        <v>696</v>
      </c>
    </row>
    <row r="6" spans="1:6" x14ac:dyDescent="0.3">
      <c r="A6" s="9" t="s">
        <v>655</v>
      </c>
      <c r="B6" s="9">
        <v>12</v>
      </c>
      <c r="C6" s="9">
        <v>3</v>
      </c>
      <c r="D6" s="9">
        <v>15</v>
      </c>
      <c r="E6" s="9">
        <v>6</v>
      </c>
      <c r="F6" s="9">
        <v>36</v>
      </c>
    </row>
    <row r="7" spans="1:6" x14ac:dyDescent="0.3">
      <c r="A7" s="9" t="s">
        <v>651</v>
      </c>
      <c r="B7" s="9">
        <v>46</v>
      </c>
      <c r="C7" s="9">
        <v>10</v>
      </c>
      <c r="D7" s="9">
        <v>31</v>
      </c>
      <c r="E7" s="9">
        <v>25</v>
      </c>
      <c r="F7" s="9">
        <v>112</v>
      </c>
    </row>
    <row r="8" spans="1:6" x14ac:dyDescent="0.3">
      <c r="A8" s="9" t="s">
        <v>658</v>
      </c>
      <c r="B8" s="9">
        <v>5</v>
      </c>
      <c r="C8" s="9"/>
      <c r="D8" s="9">
        <v>8</v>
      </c>
      <c r="E8" s="9">
        <v>3</v>
      </c>
      <c r="F8" s="9">
        <v>16</v>
      </c>
    </row>
    <row r="9" spans="1:6" x14ac:dyDescent="0.3">
      <c r="A9" s="9" t="s">
        <v>653</v>
      </c>
      <c r="B9" s="9">
        <v>13</v>
      </c>
      <c r="C9" s="9">
        <v>2</v>
      </c>
      <c r="D9" s="9">
        <v>15</v>
      </c>
      <c r="E9" s="9">
        <v>13</v>
      </c>
      <c r="F9" s="9">
        <v>43</v>
      </c>
    </row>
    <row r="10" spans="1:6" x14ac:dyDescent="0.3">
      <c r="A10" s="9" t="s">
        <v>657</v>
      </c>
      <c r="B10" s="9">
        <v>19</v>
      </c>
      <c r="C10" s="9">
        <v>5</v>
      </c>
      <c r="D10" s="9">
        <v>33</v>
      </c>
      <c r="E10" s="9">
        <v>22</v>
      </c>
      <c r="F10" s="9">
        <v>79</v>
      </c>
    </row>
    <row r="11" spans="1:6" x14ac:dyDescent="0.3">
      <c r="A11" s="9" t="s">
        <v>654</v>
      </c>
      <c r="B11" s="9">
        <v>6</v>
      </c>
      <c r="C11" s="9">
        <v>1</v>
      </c>
      <c r="D11" s="9">
        <v>13</v>
      </c>
      <c r="E11" s="9">
        <v>5</v>
      </c>
      <c r="F11" s="9">
        <v>25</v>
      </c>
    </row>
    <row r="12" spans="1:6" x14ac:dyDescent="0.3">
      <c r="A12" s="9" t="s">
        <v>656</v>
      </c>
      <c r="B12" s="9">
        <v>24</v>
      </c>
      <c r="C12" s="9">
        <v>5</v>
      </c>
      <c r="D12" s="9">
        <v>31</v>
      </c>
      <c r="E12" s="9">
        <v>25</v>
      </c>
      <c r="F12" s="9">
        <v>85</v>
      </c>
    </row>
    <row r="13" spans="1:6" x14ac:dyDescent="0.3">
      <c r="A13" s="9" t="s">
        <v>652</v>
      </c>
      <c r="B13" s="9">
        <v>32</v>
      </c>
      <c r="C13" s="9">
        <v>9</v>
      </c>
      <c r="D13" s="9">
        <v>28</v>
      </c>
      <c r="E13" s="9">
        <v>15</v>
      </c>
      <c r="F13" s="9">
        <v>84</v>
      </c>
    </row>
    <row r="14" spans="1:6" x14ac:dyDescent="0.3">
      <c r="A14" s="9" t="s">
        <v>696</v>
      </c>
      <c r="B14" s="9">
        <v>157</v>
      </c>
      <c r="C14" s="9">
        <v>35</v>
      </c>
      <c r="D14" s="9">
        <v>174</v>
      </c>
      <c r="E14" s="9">
        <v>114</v>
      </c>
      <c r="F14" s="9">
        <v>480</v>
      </c>
    </row>
    <row r="16" spans="1:6" x14ac:dyDescent="0.3">
      <c r="A16" s="13" t="s">
        <v>700</v>
      </c>
    </row>
    <row r="17" spans="1:6" x14ac:dyDescent="0.3">
      <c r="A17" s="10" t="s">
        <v>699</v>
      </c>
      <c r="B17" s="10" t="s">
        <v>8</v>
      </c>
      <c r="C17" s="9"/>
      <c r="D17" s="9"/>
      <c r="E17" s="9"/>
      <c r="F17" s="9"/>
    </row>
    <row r="18" spans="1:6" x14ac:dyDescent="0.3">
      <c r="A18" s="10" t="s">
        <v>648</v>
      </c>
      <c r="B18" s="9" t="s">
        <v>45</v>
      </c>
      <c r="C18" s="9" t="s">
        <v>20</v>
      </c>
      <c r="D18" s="9" t="s">
        <v>30</v>
      </c>
      <c r="E18" s="9" t="s">
        <v>39</v>
      </c>
      <c r="F18" s="9" t="s">
        <v>696</v>
      </c>
    </row>
    <row r="19" spans="1:6" x14ac:dyDescent="0.3">
      <c r="A19" s="9" t="s">
        <v>655</v>
      </c>
      <c r="B19" s="9">
        <v>4708.333333333333</v>
      </c>
      <c r="C19" s="9">
        <v>13083.333333333334</v>
      </c>
      <c r="D19" s="9">
        <v>6748.333333333333</v>
      </c>
      <c r="E19" s="9">
        <v>9325</v>
      </c>
      <c r="F19" s="9">
        <v>7025.6944444444443</v>
      </c>
    </row>
    <row r="20" spans="1:6" x14ac:dyDescent="0.3">
      <c r="A20" s="9" t="s">
        <v>651</v>
      </c>
      <c r="B20" s="9">
        <v>6169.565217391304</v>
      </c>
      <c r="C20" s="9">
        <v>16645</v>
      </c>
      <c r="D20" s="9">
        <v>8522.5806451612898</v>
      </c>
      <c r="E20" s="9">
        <v>12986</v>
      </c>
      <c r="F20" s="9">
        <v>9277.6785714285706</v>
      </c>
    </row>
    <row r="21" spans="1:6" x14ac:dyDescent="0.3">
      <c r="A21" s="9" t="s">
        <v>658</v>
      </c>
      <c r="B21" s="9">
        <v>5230</v>
      </c>
      <c r="C21" s="9"/>
      <c r="D21" s="9">
        <v>7818.75</v>
      </c>
      <c r="E21" s="9">
        <v>11183.333333333334</v>
      </c>
      <c r="F21" s="9">
        <v>7640.625</v>
      </c>
    </row>
    <row r="22" spans="1:6" x14ac:dyDescent="0.3">
      <c r="A22" s="9" t="s">
        <v>653</v>
      </c>
      <c r="B22" s="9">
        <v>3973.0769230769229</v>
      </c>
      <c r="C22" s="9">
        <v>10175</v>
      </c>
      <c r="D22" s="9">
        <v>6140</v>
      </c>
      <c r="E22" s="9">
        <v>8813.461538461539</v>
      </c>
      <c r="F22" s="9">
        <v>6480.8139534883721</v>
      </c>
    </row>
    <row r="23" spans="1:6" x14ac:dyDescent="0.3">
      <c r="A23" s="9" t="s">
        <v>657</v>
      </c>
      <c r="B23" s="9">
        <v>3626.3157894736842</v>
      </c>
      <c r="C23" s="9">
        <v>10220</v>
      </c>
      <c r="D23" s="9">
        <v>5002.272727272727</v>
      </c>
      <c r="E23" s="9">
        <v>7684.090909090909</v>
      </c>
      <c r="F23" s="9">
        <v>5748.4177215189875</v>
      </c>
    </row>
    <row r="24" spans="1:6" x14ac:dyDescent="0.3">
      <c r="A24" s="9" t="s">
        <v>654</v>
      </c>
      <c r="B24" s="9">
        <v>3841.6666666666665</v>
      </c>
      <c r="C24" s="9">
        <v>11200</v>
      </c>
      <c r="D24" s="9">
        <v>5657.6923076923076</v>
      </c>
      <c r="E24" s="9">
        <v>8620</v>
      </c>
      <c r="F24" s="9">
        <v>6036</v>
      </c>
    </row>
    <row r="25" spans="1:6" x14ac:dyDescent="0.3">
      <c r="A25" s="9" t="s">
        <v>656</v>
      </c>
      <c r="B25" s="9">
        <v>2843.75</v>
      </c>
      <c r="C25" s="9">
        <v>8110</v>
      </c>
      <c r="D25" s="9">
        <v>4134.677419354839</v>
      </c>
      <c r="E25" s="9">
        <v>6032</v>
      </c>
      <c r="F25" s="9">
        <v>4562.0588235294117</v>
      </c>
    </row>
    <row r="26" spans="1:6" x14ac:dyDescent="0.3">
      <c r="A26" s="9" t="s">
        <v>652</v>
      </c>
      <c r="B26" s="9">
        <v>3770.3125</v>
      </c>
      <c r="C26" s="9">
        <v>10022.222222222223</v>
      </c>
      <c r="D26" s="9">
        <v>5319.6428571428569</v>
      </c>
      <c r="E26" s="9">
        <v>7786.666666666667</v>
      </c>
      <c r="F26" s="9">
        <v>5673.8095238095239</v>
      </c>
    </row>
    <row r="27" spans="1:6" x14ac:dyDescent="0.3">
      <c r="A27" s="9" t="s">
        <v>696</v>
      </c>
      <c r="B27" s="9">
        <v>4451.9108280254777</v>
      </c>
      <c r="C27" s="9">
        <v>11974.285714285714</v>
      </c>
      <c r="D27" s="9">
        <v>5953.0172413793107</v>
      </c>
      <c r="E27" s="9">
        <v>8846.2719298245611</v>
      </c>
      <c r="F27" s="9">
        <v>6588.229166666667</v>
      </c>
    </row>
    <row r="29" spans="1:6" x14ac:dyDescent="0.3">
      <c r="A29" s="13" t="s">
        <v>701</v>
      </c>
    </row>
    <row r="30" spans="1:6" x14ac:dyDescent="0.3">
      <c r="A30" s="10" t="s">
        <v>648</v>
      </c>
      <c r="B30" s="9" t="s">
        <v>702</v>
      </c>
    </row>
    <row r="31" spans="1:6" x14ac:dyDescent="0.3">
      <c r="A31" s="9" t="s">
        <v>654</v>
      </c>
      <c r="B31" s="12">
        <v>0.12</v>
      </c>
    </row>
    <row r="32" spans="1:6" x14ac:dyDescent="0.3">
      <c r="A32" s="9" t="s">
        <v>651</v>
      </c>
      <c r="B32" s="12">
        <v>0.16071428571428573</v>
      </c>
    </row>
    <row r="33" spans="1:2" x14ac:dyDescent="0.3">
      <c r="A33" s="9" t="s">
        <v>657</v>
      </c>
      <c r="B33" s="12">
        <v>0.16455696202531644</v>
      </c>
    </row>
    <row r="34" spans="1:2" x14ac:dyDescent="0.3">
      <c r="A34" s="9" t="s">
        <v>655</v>
      </c>
      <c r="B34" s="12">
        <v>0.19444444444444445</v>
      </c>
    </row>
    <row r="35" spans="1:2" x14ac:dyDescent="0.3">
      <c r="A35" s="9" t="s">
        <v>653</v>
      </c>
      <c r="B35" s="12">
        <v>0.23255813953488372</v>
      </c>
    </row>
    <row r="36" spans="1:2" x14ac:dyDescent="0.3">
      <c r="A36" s="9" t="s">
        <v>658</v>
      </c>
      <c r="B36" s="12">
        <v>0.25</v>
      </c>
    </row>
    <row r="37" spans="1:2" x14ac:dyDescent="0.3">
      <c r="A37" s="9" t="s">
        <v>656</v>
      </c>
      <c r="B37" s="12">
        <v>0.31764705882352939</v>
      </c>
    </row>
    <row r="38" spans="1:2" x14ac:dyDescent="0.3">
      <c r="A38" s="9" t="s">
        <v>652</v>
      </c>
      <c r="B38" s="12">
        <v>0.39285714285714285</v>
      </c>
    </row>
    <row r="39" spans="1:2" x14ac:dyDescent="0.3">
      <c r="A39" s="9" t="s">
        <v>696</v>
      </c>
      <c r="B39" s="12">
        <v>0.23958333333333334</v>
      </c>
    </row>
  </sheetData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A57B-6F25-47E5-B28A-6A8AD7B769D9}">
  <sheetPr>
    <tabColor theme="9" tint="0.59999389629810485"/>
  </sheetPr>
  <dimension ref="A1:D11"/>
  <sheetViews>
    <sheetView showGridLines="0" zoomScale="82" zoomScaleNormal="82" workbookViewId="0">
      <selection activeCell="C14" sqref="C14"/>
    </sheetView>
  </sheetViews>
  <sheetFormatPr defaultRowHeight="14.4" x14ac:dyDescent="0.3"/>
  <cols>
    <col min="1" max="1" width="45.77734375" bestFit="1" customWidth="1"/>
    <col min="2" max="2" width="60.109375" bestFit="1" customWidth="1"/>
    <col min="3" max="3" width="17.21875" bestFit="1" customWidth="1"/>
    <col min="4" max="4" width="115" bestFit="1" customWidth="1"/>
  </cols>
  <sheetData>
    <row r="1" spans="1:4" s="2" customFormat="1" x14ac:dyDescent="0.3">
      <c r="A1" s="3" t="s">
        <v>667</v>
      </c>
      <c r="B1" s="3" t="s">
        <v>668</v>
      </c>
      <c r="C1" s="3" t="s">
        <v>669</v>
      </c>
      <c r="D1" s="3" t="s">
        <v>670</v>
      </c>
    </row>
    <row r="2" spans="1:4" x14ac:dyDescent="0.3">
      <c r="A2" s="4" t="s">
        <v>671</v>
      </c>
      <c r="B2" s="5" t="s">
        <v>672</v>
      </c>
      <c r="C2" s="5">
        <v>12</v>
      </c>
      <c r="D2" s="5" t="s">
        <v>709</v>
      </c>
    </row>
    <row r="3" spans="1:4" x14ac:dyDescent="0.3">
      <c r="A3" s="4" t="s">
        <v>674</v>
      </c>
      <c r="B3" s="5" t="s">
        <v>673</v>
      </c>
      <c r="C3" s="5" t="s">
        <v>675</v>
      </c>
      <c r="D3" s="5" t="s">
        <v>692</v>
      </c>
    </row>
    <row r="4" spans="1:4" x14ac:dyDescent="0.3">
      <c r="A4" s="4" t="s">
        <v>674</v>
      </c>
      <c r="B4" s="5" t="s">
        <v>704</v>
      </c>
      <c r="C4" s="5" t="s">
        <v>675</v>
      </c>
      <c r="D4" s="5" t="s">
        <v>703</v>
      </c>
    </row>
    <row r="5" spans="1:4" ht="28.8" x14ac:dyDescent="0.3">
      <c r="A5" s="4" t="s">
        <v>705</v>
      </c>
      <c r="B5" s="5" t="s">
        <v>706</v>
      </c>
      <c r="C5" s="5" t="s">
        <v>676</v>
      </c>
      <c r="D5" s="6" t="s">
        <v>707</v>
      </c>
    </row>
    <row r="6" spans="1:4" x14ac:dyDescent="0.3">
      <c r="A6" s="4" t="s">
        <v>677</v>
      </c>
      <c r="B6" s="5" t="s">
        <v>710</v>
      </c>
      <c r="C6" s="5" t="s">
        <v>711</v>
      </c>
      <c r="D6" s="6" t="s">
        <v>712</v>
      </c>
    </row>
    <row r="7" spans="1:4" ht="43.2" x14ac:dyDescent="0.3">
      <c r="A7" s="4" t="s">
        <v>679</v>
      </c>
      <c r="B7" s="5" t="s">
        <v>678</v>
      </c>
      <c r="C7" s="5">
        <v>8</v>
      </c>
      <c r="D7" s="6" t="s">
        <v>691</v>
      </c>
    </row>
    <row r="8" spans="1:4" ht="57.6" x14ac:dyDescent="0.3">
      <c r="A8" s="4" t="s">
        <v>680</v>
      </c>
      <c r="B8" s="5" t="s">
        <v>682</v>
      </c>
      <c r="C8" s="5" t="s">
        <v>681</v>
      </c>
      <c r="D8" s="6" t="s">
        <v>713</v>
      </c>
    </row>
    <row r="9" spans="1:4" ht="43.2" x14ac:dyDescent="0.3">
      <c r="A9" s="4" t="s">
        <v>680</v>
      </c>
      <c r="B9" s="5" t="s">
        <v>683</v>
      </c>
      <c r="C9" s="5">
        <v>19</v>
      </c>
      <c r="D9" s="6" t="s">
        <v>714</v>
      </c>
    </row>
    <row r="10" spans="1:4" ht="28.8" x14ac:dyDescent="0.3">
      <c r="A10" s="4" t="s">
        <v>684</v>
      </c>
      <c r="B10" s="5" t="s">
        <v>685</v>
      </c>
      <c r="C10" s="5">
        <v>12</v>
      </c>
      <c r="D10" s="6" t="s">
        <v>686</v>
      </c>
    </row>
    <row r="11" spans="1:4" x14ac:dyDescent="0.3">
      <c r="A11" s="4" t="s">
        <v>689</v>
      </c>
      <c r="B11" s="5" t="s">
        <v>688</v>
      </c>
      <c r="C11" s="5">
        <v>10</v>
      </c>
      <c r="D11" s="5" t="s">
        <v>690</v>
      </c>
    </row>
  </sheetData>
  <hyperlinks>
    <hyperlink ref="A2" location="angajati_curat!A1" display="id_angajat!A1" xr:uid="{EFCE90C3-7719-40ED-9E30-61E9BD73F4F3}"/>
    <hyperlink ref="A3" location="angajati_curat!B1" display="nume!B1, prenume!C1" xr:uid="{CE23B200-41E6-431F-8235-58D13DFEA270}"/>
    <hyperlink ref="A4" location="angajati_curat!B1" display="nume!B1, prenume!C1" xr:uid="{27BED0FC-B21B-40AD-85E0-863DE58A5D55}"/>
    <hyperlink ref="A5" location="angajati_curat!D1" display="gen!D1, oras!J1,  nivel!I1, status!M1" xr:uid="{B1C132F4-1453-460E-8A9C-BCAFED01C57D}"/>
    <hyperlink ref="A7" location="angajati_curat!G1" display="id_departament!G1" xr:uid="{78F9463B-B8A1-4ACC-99A3-2DB5A97BA5EE}"/>
    <hyperlink ref="A8" location="angajati_curat!L1" display="salariu_brut_lunar!L1" xr:uid="{B92B3487-F119-4FD3-9BA3-7161AEE9925F}"/>
    <hyperlink ref="A9" location="angajati_curat!L1" display="salariu_brut_lunar!L1" xr:uid="{C263C538-3A4C-4656-842C-58A3243B0094}"/>
    <hyperlink ref="A10" location="angajati_curat!O1" display="motiv_plecare!O1" xr:uid="{E4F149F2-500E-41D3-9F73-9D414ADB025D}"/>
    <hyperlink ref="A11" location="angajati_curat!P1" display="email!P1" xr:uid="{73CC3525-CB08-46CA-A863-C0CF54AD6F92}"/>
    <hyperlink ref="A6" location="angajati_curat!E1" display="data_nasterii!E1, data_angajarii!F1, data_plecarii!N1" xr:uid="{95BA949C-DFBC-4300-B5E8-251FF7B77DC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A50FA-3994-409C-A9EB-BBDE16A370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angajati</vt:lpstr>
      <vt:lpstr>evaluari</vt:lpstr>
      <vt:lpstr>departamente</vt:lpstr>
      <vt:lpstr>angajati_curat</vt:lpstr>
      <vt:lpstr>pivot</vt:lpstr>
      <vt:lpstr>jurnal_curatare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Trandafir</dc:creator>
  <cp:lastModifiedBy>Adrian Trandafir</cp:lastModifiedBy>
  <dcterms:created xsi:type="dcterms:W3CDTF">2026-10-15T12:49:44Z</dcterms:created>
  <dcterms:modified xsi:type="dcterms:W3CDTF">2026-10-25T17:45:03Z</dcterms:modified>
</cp:coreProperties>
</file>